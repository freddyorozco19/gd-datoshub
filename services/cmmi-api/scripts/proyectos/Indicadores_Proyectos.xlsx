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Proyectos\"/>
    </mc:Choice>
  </mc:AlternateContent>
  <xr:revisionPtr revIDLastSave="0" documentId="13_ncr:1_{7E128752-E5D8-4994-90A5-ECF4696B41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Hoja1!$C$1:$C$399</definedName>
    <definedName name="_xlnm.Extract" localSheetId="0">Hoja1!$AA$1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7" i="1"/>
  <c r="G294" i="1"/>
  <c r="G295" i="1"/>
  <c r="G296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2" i="1"/>
  <c r="G3" i="1"/>
  <c r="G4" i="1"/>
  <c r="G5" i="1"/>
</calcChain>
</file>

<file path=xl/sharedStrings.xml><?xml version="1.0" encoding="utf-8"?>
<sst xmlns="http://schemas.openxmlformats.org/spreadsheetml/2006/main" count="1226" uniqueCount="128">
  <si>
    <t>ProjectId</t>
  </si>
  <si>
    <t>72cbf93a-8da6-ef11-bd95-00155d10dc02</t>
  </si>
  <si>
    <t>a514ea09-ced4-ee11-bd00-00155d682338</t>
  </si>
  <si>
    <t>b3dee2f4-49c1-ee11-add8-00155d10211a</t>
  </si>
  <si>
    <t>93afa0f2-87b4-ee11-b12b-00155d10d37b</t>
  </si>
  <si>
    <t>227b8bc1-c7ab-ee11-ba7f-00155d104f2c</t>
  </si>
  <si>
    <t>becfcaa1-85b4-ee11-871a-00155d105d1e</t>
  </si>
  <si>
    <t>3f6c4573-29db-ee11-8860-00155d681010</t>
  </si>
  <si>
    <t>b325f473-91e8-ee11-b9dc-00155d68784b</t>
  </si>
  <si>
    <t>7bad0cc0-6d01-ef11-b0c0-00155d68bf05</t>
  </si>
  <si>
    <t>ed6f263f-f345-ef11-adcb-00155d68d723</t>
  </si>
  <si>
    <t>378e9b3a-aa01-ef11-88ac-00155d682343</t>
  </si>
  <si>
    <t>fb6b6bf8-513d-ef11-964f-00155d687105</t>
  </si>
  <si>
    <t>2f048f31-0b0f-ef11-9ac8-00155d68220c</t>
  </si>
  <si>
    <t>4387201d-861f-ef11-963a-00155d690311</t>
  </si>
  <si>
    <t>883d5780-4a3d-ef11-adcc-00155d685926</t>
  </si>
  <si>
    <t>9814f6b7-7622-ef11-9641-00155d68271a</t>
  </si>
  <si>
    <t>94d43fe7-932e-ef11-9646-00155d688417</t>
  </si>
  <si>
    <t>2c770481-3c3d-ef11-9649-00155d688a06</t>
  </si>
  <si>
    <t>dca5645a-745a-ef11-90d5-00155d681f04</t>
  </si>
  <si>
    <t>7834372e-5782-ef11-ba47-00155d684d05</t>
  </si>
  <si>
    <t>68e40705-cb64-ef11-90d3-00155d68a702</t>
  </si>
  <si>
    <t>5aa69b5c-cc5f-ef11-90cb-00155d68d002</t>
  </si>
  <si>
    <t>521f5ded-34b7-ef11-bbda-00155d105606</t>
  </si>
  <si>
    <t>f25ed764-c9b0-ef11-bd94-00155d10b206</t>
  </si>
  <si>
    <t>7cec2a49-4869-ef11-9771-00155d684b0c</t>
  </si>
  <si>
    <t>170c879a-c379-ef11-9770-00155d687501</t>
  </si>
  <si>
    <t>bf1f2588-497b-ef11-9776-00155d68b20b</t>
  </si>
  <si>
    <t>750d983e-5f82-ef11-977e-00155d688508</t>
  </si>
  <si>
    <t>1d360cd6-69e2-ef11-8f0b-00155d101608</t>
  </si>
  <si>
    <t>27b762b8-6282-ef11-9782-00155d688501</t>
  </si>
  <si>
    <t>105f4a72-7aa7-ef11-bd97-00155d107901</t>
  </si>
  <si>
    <t>fe16bf69-5ba7-ef11-bd93-00155d10f806</t>
  </si>
  <si>
    <t>0fba7e6f-4ac9-ef11-bbda-00155d688502</t>
  </si>
  <si>
    <t>b0b294ab-85bd-ef11-bbdd-00155d109601</t>
  </si>
  <si>
    <t>f9db1218-bbc6-ef11-bbdd-00155d688504</t>
  </si>
  <si>
    <t>b33075ff-84e9-ef11-8f0e-00155d10160b</t>
  </si>
  <si>
    <t>f7e43a42-42e2-ef11-8f0a-00155d10c30c</t>
  </si>
  <si>
    <t>2c75a646-56ed-ef11-8f0c-00155d10e412</t>
  </si>
  <si>
    <t>f3e379db-aefd-ef11-9121-00155d68400c</t>
  </si>
  <si>
    <t>2469b30a-cd0d-f011-9298-00155d102412</t>
  </si>
  <si>
    <t>abb9e9f1-943c-f011-b02d-00155d101c0c</t>
  </si>
  <si>
    <t>6705f71d-405b-f011-aa72-00155d101412</t>
  </si>
  <si>
    <t>836922e6-3a5b-f011-aa66-00155d103d05</t>
  </si>
  <si>
    <t>a9cd0d86-7287-f011-b73a-00155d102b0e</t>
  </si>
  <si>
    <t>da7743bf-fe9f-f011-ad65-00155d10510e</t>
  </si>
  <si>
    <t>53987d4b-0a7e-f011-b522-00155d103c1f</t>
  </si>
  <si>
    <t>b351b482-1d7a-f011-b525-00155d685e04</t>
  </si>
  <si>
    <t>005160ba-1588-f011-b73c-00155d109318</t>
  </si>
  <si>
    <t>bafcc872-0f88-f011-b73c-00155d107618</t>
  </si>
  <si>
    <t>949f22f0-0d7e-f011-b522-00155d109605</t>
  </si>
  <si>
    <t>11742009-4d92-f011-b748-00155d10e50b</t>
  </si>
  <si>
    <t>1b43123c-dca2-f011-ad61-00155d10ce02</t>
  </si>
  <si>
    <t>814cb47a-69be-f011-a2d0-00155d102a0d</t>
  </si>
  <si>
    <t>d79ac27b-ce9f-f011-ad66-00155d10d01e</t>
  </si>
  <si>
    <t>b2c2cee9-ca9f-f011-ad66-00155d10cc0e</t>
  </si>
  <si>
    <t>a30c7fbe-c51e-f011-92a8-00155d103b0a</t>
  </si>
  <si>
    <t>cf6abfed-bec4-f011-a2d5-00155d10610d</t>
  </si>
  <si>
    <t>de44d35f-a3c4-f011-a2d3-00155d10a20e</t>
  </si>
  <si>
    <t>7a907e06-82be-f011-a2c8-00155d104505</t>
  </si>
  <si>
    <t>3e0420fc-6cbe-f011-a2c4-00155d10161a</t>
  </si>
  <si>
    <t>d48feed8-6abe-f011-a2cc-00155d11080d</t>
  </si>
  <si>
    <t>170cbfc7-d6e4-f011-9aac-00155d103e1e</t>
  </si>
  <si>
    <t>26796451-d9f4-f011-8782-00155d10b911</t>
  </si>
  <si>
    <t>d8464488-bcc4-f011-a2d2-00155d110115</t>
  </si>
  <si>
    <t>053eec63-eeca-f011-86c1-00155d106a17</t>
  </si>
  <si>
    <t>44516f2a-f1fa-f011-b5f8-00155d10100b</t>
  </si>
  <si>
    <t>da353807-f0d1-f011-86be-00155d10d315</t>
  </si>
  <si>
    <t>ec074182-14e0-f011-9aac-00155d10d91f</t>
  </si>
  <si>
    <t>2a4aeec0-1ee0-f011-9aac-00155d11040d</t>
  </si>
  <si>
    <t>c5a4c8cd-7abe-f011-a2cf-00155d10ce0f</t>
  </si>
  <si>
    <t>8102396e-b6fc-f011-b5fb-00155d108229</t>
  </si>
  <si>
    <t>15847220-bafc-f011-b5fb-00155d101522</t>
  </si>
  <si>
    <t>466e3d54-fffa-f011-b5f8-00155d10e10d</t>
  </si>
  <si>
    <t>ProjectOwnerName</t>
  </si>
  <si>
    <t>Carlos Alberto Osorio Ortiz</t>
  </si>
  <si>
    <t>Carlos Fernando Gomez Rodriguez</t>
  </si>
  <si>
    <t>Johan Sebastian Rodriguez Niño</t>
  </si>
  <si>
    <t>Janeth Annelise Araujo Ramos</t>
  </si>
  <si>
    <t>Guiovanni Andres Serrano Serna</t>
  </si>
  <si>
    <t>Mario Andres Pirachican Gil</t>
  </si>
  <si>
    <t>Leidy Susana Ramirez Herrera</t>
  </si>
  <si>
    <t>Laura Johanna Jaramillo Soto</t>
  </si>
  <si>
    <t>Rodrigo Alexander Ramirez Ospina</t>
  </si>
  <si>
    <t>Natalia Maritza Guaje Berdugo</t>
  </si>
  <si>
    <t>Liliana Isabel Paba Alvear</t>
  </si>
  <si>
    <t>Luis Gabriel Rojas Angarita</t>
  </si>
  <si>
    <t>Diego Armando Giraldo Pachecho</t>
  </si>
  <si>
    <t>Alberto Ramirez Nuñez</t>
  </si>
  <si>
    <t>Jose Alfonso Espinosa Rodriguez</t>
  </si>
  <si>
    <t>Francy Viviana Gonzalez Barriga</t>
  </si>
  <si>
    <t>Marlon Fabian Moreno Buitrago</t>
  </si>
  <si>
    <t>Juan Carlos Muñoz Gomez</t>
  </si>
  <si>
    <t>Jose Leonardo Gutierrez Cumbe</t>
  </si>
  <si>
    <t>Gerardo Andres Segura Rincon</t>
  </si>
  <si>
    <t>Yhon Jairo Martinez Gaviria</t>
  </si>
  <si>
    <t>Jairo Alfredo Cuellar Ortiz</t>
  </si>
  <si>
    <t>Mario Briceño Torres</t>
  </si>
  <si>
    <t>John Fredy Farias Peña</t>
  </si>
  <si>
    <t>Lida Milena Rodriguez</t>
  </si>
  <si>
    <t>Portafolio</t>
  </si>
  <si>
    <t>TI</t>
  </si>
  <si>
    <t>CONSULTORÍA</t>
  </si>
  <si>
    <t>DATOS Y SISTEMAS DE INFORMACIÓN</t>
  </si>
  <si>
    <t>Presupuesto</t>
  </si>
  <si>
    <t>Inicio</t>
  </si>
  <si>
    <t>Fin</t>
  </si>
  <si>
    <t>Meses</t>
  </si>
  <si>
    <t>Tiempo Diferencia</t>
  </si>
  <si>
    <t>Tiempo Ejecución</t>
  </si>
  <si>
    <t>Tiempo Proyectado</t>
  </si>
  <si>
    <t>% Planeado</t>
  </si>
  <si>
    <t>Completado Real</t>
  </si>
  <si>
    <t>AC (Actual Cost)</t>
  </si>
  <si>
    <t>Costo Mensual</t>
  </si>
  <si>
    <t>EV (Earned Value)</t>
  </si>
  <si>
    <t>PV (Planned Value)</t>
  </si>
  <si>
    <t>CV (Cost Variance)</t>
  </si>
  <si>
    <t>SV (Schedule Variance)</t>
  </si>
  <si>
    <t>CPI (Cost Performance Index)</t>
  </si>
  <si>
    <t xml:space="preserve">$ -   </t>
  </si>
  <si>
    <t xml:space="preserve"> $ -   </t>
  </si>
  <si>
    <t>SPI (Schedule Performance Index)</t>
  </si>
  <si>
    <t>EAC (Estimación al finalizar)</t>
  </si>
  <si>
    <t>VAC (Exceso de presupuesto proyectado)</t>
  </si>
  <si>
    <t>Fecha Análisis</t>
  </si>
  <si>
    <t>2c75a646-56ed-ef11-8f0c-00155d10e412-1</t>
  </si>
  <si>
    <t>Mes Relativo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</si>
</sst>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;[Red]\-&quot;$&quot;\ #,##0"/>
    <numFmt numFmtId="165" formatCode="_-&quot;$&quot;\ * #,##0.00_-;\-&quot;$&quot;\ * #,##0.00_-;_-&quot;$&quot;\ * &quot;-&quot;??_-;_-@_-"/>
    <numFmt numFmtId="166" formatCode="0.0%"/>
    <numFmt numFmtId="167" formatCode="&quot;$&quot;\ #,##0.000;[Red]\-&quot;$&quot;\ #,##0.000"/>
    <numFmt numFmtId="168" formatCode="_-&quot;$&quot;\ * #,##0.0000_-;\-&quot;$&quot;\ * #,##0.00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rgb="FFFF0000"/>
      <name val="Century Gothic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/>
    </xf>
    <xf numFmtId="165" fontId="0" fillId="0" borderId="1" xfId="2" applyFont="1" applyFill="1" applyBorder="1" applyAlignment="1">
      <alignment horizontal="center" vertical="center"/>
    </xf>
    <xf numFmtId="14" fontId="0" fillId="0" borderId="1" xfId="2" applyNumberFormat="1" applyFont="1" applyFill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5" fontId="3" fillId="0" borderId="1" xfId="2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65" fontId="0" fillId="0" borderId="2" xfId="2" applyFont="1" applyFill="1" applyBorder="1" applyAlignment="1">
      <alignment horizontal="center" vertical="center"/>
    </xf>
    <xf numFmtId="14" fontId="0" fillId="0" borderId="2" xfId="2" applyNumberFormat="1" applyFont="1" applyFill="1" applyBorder="1" applyAlignment="1">
      <alignment horizontal="center" vertical="center"/>
    </xf>
    <xf numFmtId="14" fontId="3" fillId="0" borderId="2" xfId="2" applyNumberFormat="1" applyFont="1" applyFill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165" fontId="3" fillId="0" borderId="2" xfId="2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8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5" fillId="0" borderId="1" xfId="2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</cellXfs>
  <cellStyles count="3">
    <cellStyle name="Moneda 2" xfId="2" xr:uid="{B6758D2E-3817-4B9C-9032-5F09EBBC30F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9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sqref="A1:M1"/>
    </sheetView>
  </sheetViews>
  <sheetFormatPr baseColWidth="10" defaultColWidth="9.06640625" defaultRowHeight="14.25" x14ac:dyDescent="0.45"/>
  <cols>
    <col min="1" max="1" width="37.86328125" style="2" bestFit="1" customWidth="1"/>
    <col min="2" max="2" width="32.1328125" style="2" customWidth="1"/>
    <col min="3" max="3" width="34.265625" style="2" customWidth="1"/>
    <col min="4" max="4" width="53.59765625" style="2" customWidth="1"/>
    <col min="5" max="5" width="16.73046875" style="2" customWidth="1"/>
    <col min="6" max="7" width="12.1328125" style="2" customWidth="1"/>
    <col min="8" max="8" width="9" style="2" customWidth="1"/>
    <col min="9" max="9" width="23.59765625" style="2" customWidth="1"/>
    <col min="10" max="10" width="22" style="2" customWidth="1"/>
    <col min="11" max="12" width="23.73046875" style="2" customWidth="1"/>
    <col min="13" max="13" width="15.73046875" style="4" customWidth="1"/>
    <col min="14" max="14" width="21.86328125" style="4" customWidth="1"/>
    <col min="15" max="16" width="21.86328125" style="2" customWidth="1"/>
    <col min="17" max="17" width="22.3984375" style="2" customWidth="1"/>
    <col min="18" max="18" width="23.59765625" style="2" customWidth="1"/>
    <col min="19" max="19" width="23.73046875" style="2" customWidth="1"/>
    <col min="20" max="20" width="28.59765625" style="2" customWidth="1"/>
    <col min="21" max="21" width="34" style="2" customWidth="1"/>
    <col min="22" max="22" width="38.86328125" style="2" customWidth="1"/>
    <col min="23" max="23" width="33.59765625" style="2" customWidth="1"/>
    <col min="24" max="24" width="48.73046875" style="2" customWidth="1"/>
  </cols>
  <sheetData>
    <row r="1" spans="1:27" x14ac:dyDescent="0.45">
      <c r="A1" s="1" t="s">
        <v>0</v>
      </c>
      <c r="B1" s="1" t="s">
        <v>74</v>
      </c>
      <c r="C1" s="1" t="s">
        <v>100</v>
      </c>
      <c r="D1" s="1" t="s">
        <v>104</v>
      </c>
      <c r="E1" s="1" t="s">
        <v>105</v>
      </c>
      <c r="F1" s="1" t="s">
        <v>106</v>
      </c>
      <c r="G1" s="1" t="s">
        <v>125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127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122</v>
      </c>
      <c r="W1" s="1" t="s">
        <v>123</v>
      </c>
      <c r="X1" s="1" t="s">
        <v>124</v>
      </c>
      <c r="AA1" s="1"/>
    </row>
    <row r="2" spans="1:27" x14ac:dyDescent="0.45">
      <c r="A2" s="3" t="s">
        <v>48</v>
      </c>
      <c r="B2" s="3" t="s">
        <v>79</v>
      </c>
      <c r="C2" s="3" t="s">
        <v>103</v>
      </c>
      <c r="D2" s="5">
        <v>683254187</v>
      </c>
      <c r="E2" s="6">
        <v>45901</v>
      </c>
      <c r="F2" s="7">
        <v>46021</v>
      </c>
      <c r="G2" s="7">
        <f t="shared" ref="G2:G27" si="0">EOMONTH(E2,J2-1)</f>
        <v>45930</v>
      </c>
      <c r="H2" s="8">
        <v>3.97</v>
      </c>
      <c r="I2" s="8">
        <v>-1.9700000000000002</v>
      </c>
      <c r="J2" s="9">
        <v>1</v>
      </c>
      <c r="K2" s="3">
        <v>5</v>
      </c>
      <c r="L2" s="17">
        <f>J2/_xlfn.MAXIFS(J2:J400,A2:A400,A2)</f>
        <v>0.25</v>
      </c>
      <c r="M2" s="17">
        <v>0.25</v>
      </c>
      <c r="N2" s="17">
        <v>0.25</v>
      </c>
      <c r="O2" s="13">
        <v>180457034</v>
      </c>
      <c r="P2" s="13">
        <v>180457034</v>
      </c>
      <c r="Q2" s="13">
        <v>170813546.75</v>
      </c>
      <c r="R2" s="13">
        <v>170813546.75</v>
      </c>
      <c r="S2" s="13">
        <v>-9643487.25</v>
      </c>
      <c r="T2" s="13">
        <v>0</v>
      </c>
      <c r="U2" s="14">
        <v>0.94656075722711919</v>
      </c>
      <c r="V2" s="15">
        <v>1</v>
      </c>
      <c r="W2" s="16">
        <v>721828136</v>
      </c>
      <c r="X2" s="16">
        <v>38573949</v>
      </c>
      <c r="AA2" s="36"/>
    </row>
    <row r="3" spans="1:27" x14ac:dyDescent="0.45">
      <c r="A3" s="3" t="s">
        <v>48</v>
      </c>
      <c r="B3" s="3" t="s">
        <v>79</v>
      </c>
      <c r="C3" s="3" t="s">
        <v>103</v>
      </c>
      <c r="D3" s="5">
        <v>683254187</v>
      </c>
      <c r="E3" s="6">
        <v>45901</v>
      </c>
      <c r="F3" s="7">
        <v>46021</v>
      </c>
      <c r="G3" s="7">
        <f t="shared" si="0"/>
        <v>45961</v>
      </c>
      <c r="H3" s="8">
        <v>3.97</v>
      </c>
      <c r="I3" s="8">
        <v>-0.9700000000000002</v>
      </c>
      <c r="J3" s="9">
        <v>2</v>
      </c>
      <c r="K3" s="3">
        <v>5</v>
      </c>
      <c r="L3" s="17">
        <f t="shared" ref="L3:L7" si="1">J3/_xlfn.MAXIFS(J3:J401,A3:A401,A3)</f>
        <v>0.5</v>
      </c>
      <c r="M3" s="17">
        <v>0.5</v>
      </c>
      <c r="N3" s="17">
        <v>0.5</v>
      </c>
      <c r="O3" s="13">
        <v>167599051</v>
      </c>
      <c r="P3" s="13">
        <v>167599051</v>
      </c>
      <c r="Q3" s="13">
        <v>341627093.5</v>
      </c>
      <c r="R3" s="13">
        <v>341627093.5</v>
      </c>
      <c r="S3" s="13">
        <v>174028042.5</v>
      </c>
      <c r="T3" s="13">
        <v>0</v>
      </c>
      <c r="U3" s="14">
        <v>2.0383593550299994</v>
      </c>
      <c r="V3" s="15">
        <v>1</v>
      </c>
      <c r="W3" s="16">
        <v>335198102</v>
      </c>
      <c r="X3" s="16">
        <v>-348056085</v>
      </c>
      <c r="AA3" s="36"/>
    </row>
    <row r="4" spans="1:27" x14ac:dyDescent="0.45">
      <c r="A4" s="3" t="s">
        <v>48</v>
      </c>
      <c r="B4" s="3" t="s">
        <v>79</v>
      </c>
      <c r="C4" s="3" t="s">
        <v>103</v>
      </c>
      <c r="D4" s="5">
        <v>683254187</v>
      </c>
      <c r="E4" s="6">
        <v>45901</v>
      </c>
      <c r="F4" s="7">
        <v>46021</v>
      </c>
      <c r="G4" s="7">
        <f t="shared" si="0"/>
        <v>45991</v>
      </c>
      <c r="H4" s="8">
        <v>3.97</v>
      </c>
      <c r="I4" s="8">
        <v>2.9999999999999805E-2</v>
      </c>
      <c r="J4" s="9">
        <v>3</v>
      </c>
      <c r="K4" s="3">
        <v>5</v>
      </c>
      <c r="L4" s="17">
        <f t="shared" si="1"/>
        <v>0.75</v>
      </c>
      <c r="M4" s="17">
        <v>0.75</v>
      </c>
      <c r="N4" s="17">
        <v>0.75</v>
      </c>
      <c r="O4" s="13">
        <v>167599051</v>
      </c>
      <c r="P4" s="13">
        <v>167599051</v>
      </c>
      <c r="Q4" s="13">
        <v>512440640.25</v>
      </c>
      <c r="R4" s="13">
        <v>512440640.25</v>
      </c>
      <c r="S4" s="13">
        <v>344841589.25</v>
      </c>
      <c r="T4" s="13">
        <v>0</v>
      </c>
      <c r="U4" s="14">
        <v>3.0575390325449994</v>
      </c>
      <c r="V4" s="15">
        <v>1</v>
      </c>
      <c r="W4" s="16">
        <v>223465401.33333334</v>
      </c>
      <c r="X4" s="16">
        <v>-459788785.66666663</v>
      </c>
    </row>
    <row r="5" spans="1:27" x14ac:dyDescent="0.45">
      <c r="A5" s="3" t="s">
        <v>48</v>
      </c>
      <c r="B5" s="3" t="s">
        <v>79</v>
      </c>
      <c r="C5" s="3" t="s">
        <v>103</v>
      </c>
      <c r="D5" s="5">
        <v>683254187</v>
      </c>
      <c r="E5" s="6">
        <v>45901</v>
      </c>
      <c r="F5" s="7">
        <v>46021</v>
      </c>
      <c r="G5" s="7">
        <f>EOMONTH(E5,J5-1)</f>
        <v>46022</v>
      </c>
      <c r="H5" s="8">
        <v>3.97</v>
      </c>
      <c r="I5" s="8">
        <v>-2.97</v>
      </c>
      <c r="J5" s="9">
        <v>4</v>
      </c>
      <c r="K5" s="3">
        <v>5</v>
      </c>
      <c r="L5" s="17">
        <f t="shared" si="1"/>
        <v>1</v>
      </c>
      <c r="M5" s="17">
        <v>1</v>
      </c>
      <c r="N5" s="17">
        <v>1</v>
      </c>
      <c r="O5" s="13">
        <v>167599051</v>
      </c>
      <c r="P5" s="13">
        <v>167599051</v>
      </c>
      <c r="Q5" s="13">
        <v>683254187</v>
      </c>
      <c r="R5" s="13">
        <v>683254187</v>
      </c>
      <c r="S5" s="13">
        <v>515655136</v>
      </c>
      <c r="T5" s="13">
        <v>0</v>
      </c>
      <c r="U5" s="14">
        <v>4.0767187100599989</v>
      </c>
      <c r="V5" s="15">
        <v>1</v>
      </c>
      <c r="W5" s="16">
        <v>167599051</v>
      </c>
      <c r="X5" s="16">
        <v>-515655136</v>
      </c>
      <c r="AA5" s="3"/>
    </row>
    <row r="6" spans="1:27" x14ac:dyDescent="0.45">
      <c r="A6" s="36" t="s">
        <v>65</v>
      </c>
      <c r="B6" s="36" t="s">
        <v>87</v>
      </c>
      <c r="C6" s="36" t="s">
        <v>103</v>
      </c>
      <c r="D6" s="5">
        <v>1597913499</v>
      </c>
      <c r="E6" s="6">
        <v>45989</v>
      </c>
      <c r="F6" s="7">
        <v>46293</v>
      </c>
      <c r="G6" s="7">
        <f t="shared" si="0"/>
        <v>45991</v>
      </c>
      <c r="H6" s="8">
        <v>10</v>
      </c>
      <c r="I6" s="8">
        <v>-9</v>
      </c>
      <c r="J6" s="9">
        <v>1</v>
      </c>
      <c r="K6" s="3">
        <v>10</v>
      </c>
      <c r="L6" s="17">
        <f t="shared" si="1"/>
        <v>0.33333333333333331</v>
      </c>
      <c r="M6" s="17">
        <v>0.1</v>
      </c>
      <c r="N6" s="17">
        <v>0.1</v>
      </c>
      <c r="O6" s="13">
        <v>100779731</v>
      </c>
      <c r="P6" s="13">
        <v>100779731</v>
      </c>
      <c r="Q6" s="13">
        <v>159791349.90000001</v>
      </c>
      <c r="R6" s="13">
        <v>159791349.90000001</v>
      </c>
      <c r="S6" s="13">
        <v>59011618.900000006</v>
      </c>
      <c r="T6" s="13">
        <v>0</v>
      </c>
      <c r="U6" s="14">
        <v>1.5855504704611685</v>
      </c>
      <c r="V6" s="15">
        <v>1</v>
      </c>
      <c r="W6" s="16">
        <v>1007797310</v>
      </c>
      <c r="X6" s="16">
        <v>-590116189</v>
      </c>
    </row>
    <row r="7" spans="1:27" x14ac:dyDescent="0.45">
      <c r="A7" s="36" t="s">
        <v>65</v>
      </c>
      <c r="B7" s="36" t="s">
        <v>87</v>
      </c>
      <c r="C7" s="36" t="s">
        <v>103</v>
      </c>
      <c r="D7" s="5">
        <v>1597913499</v>
      </c>
      <c r="E7" s="6">
        <v>45989</v>
      </c>
      <c r="F7" s="7">
        <v>46293</v>
      </c>
      <c r="G7" s="7">
        <f t="shared" si="0"/>
        <v>46022</v>
      </c>
      <c r="H7" s="8">
        <v>10</v>
      </c>
      <c r="I7" s="8">
        <v>-8</v>
      </c>
      <c r="J7" s="9">
        <v>2</v>
      </c>
      <c r="K7" s="3">
        <v>10</v>
      </c>
      <c r="L7" s="17">
        <f t="shared" si="1"/>
        <v>0.66666666666666663</v>
      </c>
      <c r="M7" s="17">
        <v>0.15</v>
      </c>
      <c r="N7" s="17">
        <v>0.15</v>
      </c>
      <c r="O7" s="13">
        <v>156480181</v>
      </c>
      <c r="P7" s="13">
        <v>156480181</v>
      </c>
      <c r="Q7" s="13">
        <v>239687024.84999999</v>
      </c>
      <c r="R7" s="13">
        <v>239687024.84999999</v>
      </c>
      <c r="S7" s="13">
        <v>83206843.849999994</v>
      </c>
      <c r="T7" s="13">
        <v>0</v>
      </c>
      <c r="U7" s="14">
        <v>1.5317404627107378</v>
      </c>
      <c r="V7" s="15">
        <v>1</v>
      </c>
      <c r="W7" s="16">
        <v>1043201206.6666666</v>
      </c>
      <c r="X7" s="16">
        <v>-554712292.33333337</v>
      </c>
    </row>
    <row r="8" spans="1:27" x14ac:dyDescent="0.45">
      <c r="A8" s="36" t="s">
        <v>65</v>
      </c>
      <c r="B8" s="36" t="s">
        <v>87</v>
      </c>
      <c r="C8" s="36" t="s">
        <v>103</v>
      </c>
      <c r="D8" s="5">
        <v>1597913499</v>
      </c>
      <c r="E8" s="6">
        <v>45989</v>
      </c>
      <c r="F8" s="7">
        <v>46293</v>
      </c>
      <c r="G8" s="7">
        <f t="shared" si="0"/>
        <v>46053</v>
      </c>
      <c r="H8" s="8">
        <v>10</v>
      </c>
      <c r="I8" s="8">
        <v>-7</v>
      </c>
      <c r="J8" s="9">
        <v>3</v>
      </c>
      <c r="K8" s="3">
        <v>10</v>
      </c>
      <c r="L8" s="17">
        <f t="shared" ref="L6:L66" si="2">J8/_xlfn.MAXIFS(J8:J405,A8:A405,A8)</f>
        <v>1</v>
      </c>
      <c r="M8" s="17">
        <v>0.2</v>
      </c>
      <c r="N8" s="17">
        <v>0.2</v>
      </c>
      <c r="O8" s="13">
        <v>156480181</v>
      </c>
      <c r="P8" s="13">
        <v>156480181</v>
      </c>
      <c r="Q8" s="13">
        <v>319582699.80000001</v>
      </c>
      <c r="R8" s="13">
        <v>319582699.80000001</v>
      </c>
      <c r="S8" s="13">
        <v>163102518.80000001</v>
      </c>
      <c r="T8" s="13">
        <v>0</v>
      </c>
      <c r="U8" s="14">
        <v>2.0423206169476504</v>
      </c>
      <c r="V8" s="15">
        <v>1</v>
      </c>
      <c r="W8" s="16">
        <v>782400905</v>
      </c>
      <c r="X8" s="16">
        <v>-815512594</v>
      </c>
    </row>
    <row r="9" spans="1:27" x14ac:dyDescent="0.45">
      <c r="A9" s="36" t="s">
        <v>33</v>
      </c>
      <c r="B9" s="36" t="s">
        <v>75</v>
      </c>
      <c r="C9" s="36" t="s">
        <v>101</v>
      </c>
      <c r="D9" s="5">
        <v>4974784</v>
      </c>
      <c r="E9" s="6">
        <v>45627</v>
      </c>
      <c r="F9" s="7">
        <v>45657</v>
      </c>
      <c r="G9" s="7">
        <f t="shared" si="0"/>
        <v>45657</v>
      </c>
      <c r="H9" s="8">
        <v>1</v>
      </c>
      <c r="I9" s="8">
        <v>0</v>
      </c>
      <c r="J9" s="9">
        <v>1</v>
      </c>
      <c r="K9" s="3">
        <v>1</v>
      </c>
      <c r="L9" s="17">
        <f t="shared" si="2"/>
        <v>0.5</v>
      </c>
      <c r="M9" s="17">
        <v>1</v>
      </c>
      <c r="N9" s="17">
        <v>0.5</v>
      </c>
      <c r="O9" s="13">
        <v>0</v>
      </c>
      <c r="P9" s="13">
        <v>0</v>
      </c>
      <c r="Q9" s="13">
        <v>2487392</v>
      </c>
      <c r="R9" s="13">
        <v>4974784</v>
      </c>
      <c r="S9" s="13">
        <v>2487392</v>
      </c>
      <c r="T9" s="13">
        <v>-2487392</v>
      </c>
      <c r="U9" s="40">
        <v>1</v>
      </c>
      <c r="V9" s="15">
        <v>0.5</v>
      </c>
      <c r="W9" s="16">
        <v>0</v>
      </c>
      <c r="X9" s="16">
        <v>-4974784</v>
      </c>
    </row>
    <row r="10" spans="1:27" x14ac:dyDescent="0.45">
      <c r="A10" s="36" t="s">
        <v>33</v>
      </c>
      <c r="B10" s="36" t="s">
        <v>75</v>
      </c>
      <c r="C10" s="36" t="s">
        <v>101</v>
      </c>
      <c r="D10" s="5">
        <v>4974784</v>
      </c>
      <c r="E10" s="6">
        <v>45627</v>
      </c>
      <c r="F10" s="7">
        <v>45657</v>
      </c>
      <c r="G10" s="7">
        <f t="shared" si="0"/>
        <v>45688</v>
      </c>
      <c r="H10" s="8">
        <v>1</v>
      </c>
      <c r="I10" s="8">
        <v>1</v>
      </c>
      <c r="J10" s="9">
        <v>2</v>
      </c>
      <c r="K10" s="3">
        <v>1</v>
      </c>
      <c r="L10" s="17">
        <f t="shared" si="2"/>
        <v>1</v>
      </c>
      <c r="M10" s="17">
        <v>1</v>
      </c>
      <c r="N10" s="17">
        <v>1</v>
      </c>
      <c r="O10" s="13">
        <v>40327077</v>
      </c>
      <c r="P10" s="13">
        <v>40327077</v>
      </c>
      <c r="Q10" s="13">
        <v>4974784</v>
      </c>
      <c r="R10" s="13">
        <v>4974784</v>
      </c>
      <c r="S10" s="13">
        <v>-35352293</v>
      </c>
      <c r="T10" s="13">
        <v>0</v>
      </c>
      <c r="U10" s="14">
        <v>0.12336088727680412</v>
      </c>
      <c r="V10" s="15">
        <v>1</v>
      </c>
      <c r="W10" s="16">
        <v>40327077</v>
      </c>
      <c r="X10" s="16">
        <v>35352293</v>
      </c>
    </row>
    <row r="11" spans="1:27" x14ac:dyDescent="0.45">
      <c r="A11" s="36" t="s">
        <v>31</v>
      </c>
      <c r="B11" s="36" t="s">
        <v>77</v>
      </c>
      <c r="C11" s="36" t="s">
        <v>102</v>
      </c>
      <c r="D11" s="5">
        <v>1392930821</v>
      </c>
      <c r="E11" s="6">
        <v>45597</v>
      </c>
      <c r="F11" s="7">
        <v>46295</v>
      </c>
      <c r="G11" s="7">
        <f t="shared" si="0"/>
        <v>45626</v>
      </c>
      <c r="H11" s="23">
        <v>22.97</v>
      </c>
      <c r="I11" s="23">
        <v>-21.97</v>
      </c>
      <c r="J11" s="9">
        <v>1</v>
      </c>
      <c r="K11" s="3">
        <v>11</v>
      </c>
      <c r="L11" s="17">
        <f t="shared" si="2"/>
        <v>9.0909090909090912E-2</v>
      </c>
      <c r="M11" s="17">
        <v>0.08</v>
      </c>
      <c r="N11" s="17">
        <v>0.08</v>
      </c>
      <c r="O11" s="13">
        <v>15144309</v>
      </c>
      <c r="P11" s="13">
        <v>15144309</v>
      </c>
      <c r="Q11" s="13">
        <v>111434465.68000001</v>
      </c>
      <c r="R11" s="13">
        <v>111434465.68000001</v>
      </c>
      <c r="S11" s="13">
        <v>96290156.680000007</v>
      </c>
      <c r="T11" s="13">
        <v>0</v>
      </c>
      <c r="U11" s="14">
        <v>7.3581743267388431</v>
      </c>
      <c r="V11" s="15">
        <v>1</v>
      </c>
      <c r="W11" s="16">
        <v>189303862.5</v>
      </c>
      <c r="X11" s="16">
        <v>-1203626958.5</v>
      </c>
    </row>
    <row r="12" spans="1:27" x14ac:dyDescent="0.45">
      <c r="A12" s="36" t="s">
        <v>31</v>
      </c>
      <c r="B12" s="36" t="s">
        <v>77</v>
      </c>
      <c r="C12" s="36" t="s">
        <v>102</v>
      </c>
      <c r="D12" s="5">
        <v>1392930821</v>
      </c>
      <c r="E12" s="6">
        <v>45597</v>
      </c>
      <c r="F12" s="7">
        <v>46295</v>
      </c>
      <c r="G12" s="7">
        <f t="shared" si="0"/>
        <v>45657</v>
      </c>
      <c r="H12" s="8">
        <v>22.97</v>
      </c>
      <c r="I12" s="8">
        <v>-20.97</v>
      </c>
      <c r="J12" s="9">
        <v>2</v>
      </c>
      <c r="K12" s="3">
        <v>11</v>
      </c>
      <c r="L12" s="17">
        <f t="shared" si="2"/>
        <v>0.18181818181818182</v>
      </c>
      <c r="M12" s="17">
        <v>0.19</v>
      </c>
      <c r="N12" s="17">
        <v>0.2</v>
      </c>
      <c r="O12" s="13">
        <v>470476885</v>
      </c>
      <c r="P12" s="13">
        <v>470476885</v>
      </c>
      <c r="Q12" s="13">
        <v>278586164.19999999</v>
      </c>
      <c r="R12" s="13">
        <v>264656855.99000001</v>
      </c>
      <c r="S12" s="13">
        <v>-191890720.80000001</v>
      </c>
      <c r="T12" s="13">
        <v>13929308.209999979</v>
      </c>
      <c r="U12" s="14">
        <v>0.59213570970654594</v>
      </c>
      <c r="V12" s="15">
        <v>1.0526315789473684</v>
      </c>
      <c r="W12" s="16">
        <v>2352384425</v>
      </c>
      <c r="X12" s="16">
        <v>959453604</v>
      </c>
    </row>
    <row r="13" spans="1:27" x14ac:dyDescent="0.45">
      <c r="A13" s="36" t="s">
        <v>31</v>
      </c>
      <c r="B13" s="36" t="s">
        <v>77</v>
      </c>
      <c r="C13" s="36" t="s">
        <v>102</v>
      </c>
      <c r="D13" s="5">
        <v>1392930821</v>
      </c>
      <c r="E13" s="6">
        <v>45597</v>
      </c>
      <c r="F13" s="7">
        <v>46295</v>
      </c>
      <c r="G13" s="7">
        <f t="shared" si="0"/>
        <v>45688</v>
      </c>
      <c r="H13" s="8">
        <v>22.97</v>
      </c>
      <c r="I13" s="8">
        <v>-19.97</v>
      </c>
      <c r="J13" s="9">
        <v>3</v>
      </c>
      <c r="K13" s="3">
        <v>11</v>
      </c>
      <c r="L13" s="17">
        <f t="shared" si="2"/>
        <v>0.27272727272727271</v>
      </c>
      <c r="M13" s="17">
        <v>0.3</v>
      </c>
      <c r="N13" s="17">
        <v>0.3</v>
      </c>
      <c r="O13" s="13">
        <v>11023673</v>
      </c>
      <c r="P13" s="13">
        <v>11023673</v>
      </c>
      <c r="Q13" s="13">
        <v>417879246.30000001</v>
      </c>
      <c r="R13" s="13">
        <v>417879246.30000001</v>
      </c>
      <c r="S13" s="13">
        <v>406855573.30000001</v>
      </c>
      <c r="T13" s="13">
        <v>0</v>
      </c>
      <c r="U13" s="14">
        <v>37.907442129315704</v>
      </c>
      <c r="V13" s="15">
        <v>1</v>
      </c>
      <c r="W13" s="16">
        <v>36745576.666666664</v>
      </c>
      <c r="X13" s="16">
        <v>-1356185244.3333333</v>
      </c>
    </row>
    <row r="14" spans="1:27" x14ac:dyDescent="0.45">
      <c r="A14" s="36" t="s">
        <v>31</v>
      </c>
      <c r="B14" s="36" t="s">
        <v>77</v>
      </c>
      <c r="C14" s="36" t="s">
        <v>102</v>
      </c>
      <c r="D14" s="5">
        <v>1392930821</v>
      </c>
      <c r="E14" s="6">
        <v>45597</v>
      </c>
      <c r="F14" s="7">
        <v>46295</v>
      </c>
      <c r="G14" s="7">
        <f t="shared" si="0"/>
        <v>45716</v>
      </c>
      <c r="H14" s="8">
        <v>22.97</v>
      </c>
      <c r="I14" s="8">
        <v>-18.97</v>
      </c>
      <c r="J14" s="9">
        <v>4</v>
      </c>
      <c r="K14" s="3">
        <v>11</v>
      </c>
      <c r="L14" s="17">
        <f t="shared" si="2"/>
        <v>0.36363636363636365</v>
      </c>
      <c r="M14" s="17">
        <v>0.4</v>
      </c>
      <c r="N14" s="17">
        <v>0</v>
      </c>
      <c r="O14" s="13">
        <v>0</v>
      </c>
      <c r="P14" s="13">
        <v>0</v>
      </c>
      <c r="Q14" s="13">
        <v>0</v>
      </c>
      <c r="R14" s="13">
        <v>557172328.39999998</v>
      </c>
      <c r="S14" s="13">
        <v>0</v>
      </c>
      <c r="T14" s="13">
        <v>-557172328.39999998</v>
      </c>
      <c r="U14" s="40">
        <v>1</v>
      </c>
      <c r="V14" s="15">
        <v>0</v>
      </c>
      <c r="W14" s="16">
        <v>0</v>
      </c>
      <c r="X14" s="16">
        <v>-1392930821</v>
      </c>
    </row>
    <row r="15" spans="1:27" x14ac:dyDescent="0.45">
      <c r="A15" s="36" t="s">
        <v>31</v>
      </c>
      <c r="B15" s="36" t="s">
        <v>77</v>
      </c>
      <c r="C15" s="36" t="s">
        <v>102</v>
      </c>
      <c r="D15" s="5">
        <v>1392930821</v>
      </c>
      <c r="E15" s="6">
        <v>45597</v>
      </c>
      <c r="F15" s="7">
        <v>46295</v>
      </c>
      <c r="G15" s="7">
        <f t="shared" si="0"/>
        <v>45747</v>
      </c>
      <c r="H15" s="8">
        <v>22.97</v>
      </c>
      <c r="I15" s="8">
        <v>-17.97</v>
      </c>
      <c r="J15" s="9">
        <v>5</v>
      </c>
      <c r="K15" s="3">
        <v>11</v>
      </c>
      <c r="L15" s="17">
        <f t="shared" si="2"/>
        <v>0.45454545454545453</v>
      </c>
      <c r="M15" s="17">
        <v>0.45</v>
      </c>
      <c r="N15" s="17">
        <v>0</v>
      </c>
      <c r="O15" s="13">
        <v>0</v>
      </c>
      <c r="P15" s="13">
        <v>0</v>
      </c>
      <c r="Q15" s="13">
        <v>0</v>
      </c>
      <c r="R15" s="13">
        <v>626818869.45000005</v>
      </c>
      <c r="S15" s="13">
        <v>0</v>
      </c>
      <c r="T15" s="13">
        <v>-626818869.45000005</v>
      </c>
      <c r="U15" s="40">
        <v>1</v>
      </c>
      <c r="V15" s="15">
        <v>0</v>
      </c>
      <c r="W15" s="16">
        <v>0</v>
      </c>
      <c r="X15" s="16">
        <v>-1392930821</v>
      </c>
    </row>
    <row r="16" spans="1:27" x14ac:dyDescent="0.45">
      <c r="A16" s="36" t="s">
        <v>31</v>
      </c>
      <c r="B16" s="36" t="s">
        <v>77</v>
      </c>
      <c r="C16" s="36" t="s">
        <v>102</v>
      </c>
      <c r="D16" s="5">
        <v>1392930821</v>
      </c>
      <c r="E16" s="6">
        <v>45597</v>
      </c>
      <c r="F16" s="7">
        <v>46295</v>
      </c>
      <c r="G16" s="7">
        <f t="shared" si="0"/>
        <v>45777</v>
      </c>
      <c r="H16" s="8">
        <v>22.97</v>
      </c>
      <c r="I16" s="8">
        <v>-16.97</v>
      </c>
      <c r="J16" s="9">
        <v>6</v>
      </c>
      <c r="K16" s="3">
        <v>11</v>
      </c>
      <c r="L16" s="17">
        <f t="shared" si="2"/>
        <v>0.54545454545454541</v>
      </c>
      <c r="M16" s="17">
        <v>0.5</v>
      </c>
      <c r="N16" s="17">
        <v>0</v>
      </c>
      <c r="O16" s="13">
        <v>0</v>
      </c>
      <c r="P16" s="13">
        <v>0</v>
      </c>
      <c r="Q16" s="13">
        <v>0</v>
      </c>
      <c r="R16" s="13">
        <v>696465410.5</v>
      </c>
      <c r="S16" s="13">
        <v>0</v>
      </c>
      <c r="T16" s="13">
        <v>-696465410.5</v>
      </c>
      <c r="U16" s="40">
        <v>1</v>
      </c>
      <c r="V16" s="15">
        <v>0</v>
      </c>
      <c r="W16" s="16">
        <v>0</v>
      </c>
      <c r="X16" s="16">
        <v>-1392930821</v>
      </c>
    </row>
    <row r="17" spans="1:24" x14ac:dyDescent="0.45">
      <c r="A17" s="36" t="s">
        <v>31</v>
      </c>
      <c r="B17" s="36" t="s">
        <v>77</v>
      </c>
      <c r="C17" s="36" t="s">
        <v>102</v>
      </c>
      <c r="D17" s="5">
        <v>1392930821</v>
      </c>
      <c r="E17" s="6">
        <v>45597</v>
      </c>
      <c r="F17" s="7">
        <v>46295</v>
      </c>
      <c r="G17" s="7">
        <f t="shared" si="0"/>
        <v>45808</v>
      </c>
      <c r="H17" s="8">
        <v>22.97</v>
      </c>
      <c r="I17" s="8">
        <v>-15.969999999999999</v>
      </c>
      <c r="J17" s="9">
        <v>7</v>
      </c>
      <c r="K17" s="3">
        <v>11</v>
      </c>
      <c r="L17" s="17">
        <f t="shared" si="2"/>
        <v>0.63636363636363635</v>
      </c>
      <c r="M17" s="17">
        <v>0.55000000000000004</v>
      </c>
      <c r="N17" s="17">
        <v>0</v>
      </c>
      <c r="O17" s="13">
        <v>0</v>
      </c>
      <c r="P17" s="13">
        <v>0</v>
      </c>
      <c r="Q17" s="13">
        <v>0</v>
      </c>
      <c r="R17" s="13">
        <v>766111951.55000007</v>
      </c>
      <c r="S17" s="13">
        <v>0</v>
      </c>
      <c r="T17" s="13">
        <v>-766111951.55000007</v>
      </c>
      <c r="U17" s="40">
        <v>1</v>
      </c>
      <c r="V17" s="15">
        <v>0</v>
      </c>
      <c r="W17" s="16">
        <v>0</v>
      </c>
      <c r="X17" s="16">
        <v>-1392930821</v>
      </c>
    </row>
    <row r="18" spans="1:24" x14ac:dyDescent="0.45">
      <c r="A18" s="36" t="s">
        <v>31</v>
      </c>
      <c r="B18" s="36" t="s">
        <v>77</v>
      </c>
      <c r="C18" s="36" t="s">
        <v>102</v>
      </c>
      <c r="D18" s="5">
        <v>1392930821</v>
      </c>
      <c r="E18" s="6">
        <v>45597</v>
      </c>
      <c r="F18" s="7">
        <v>46295</v>
      </c>
      <c r="G18" s="7">
        <f t="shared" si="0"/>
        <v>45838</v>
      </c>
      <c r="H18" s="8">
        <v>22.97</v>
      </c>
      <c r="I18" s="8">
        <v>-14.969999999999999</v>
      </c>
      <c r="J18" s="9">
        <v>8</v>
      </c>
      <c r="K18" s="3">
        <v>11</v>
      </c>
      <c r="L18" s="17">
        <f t="shared" si="2"/>
        <v>0.72727272727272729</v>
      </c>
      <c r="M18" s="17">
        <v>0.65</v>
      </c>
      <c r="N18" s="17">
        <v>0</v>
      </c>
      <c r="O18" s="13">
        <v>0</v>
      </c>
      <c r="P18" s="13">
        <v>0</v>
      </c>
      <c r="Q18" s="13">
        <v>0</v>
      </c>
      <c r="R18" s="13">
        <v>905405033.64999998</v>
      </c>
      <c r="S18" s="13">
        <v>0</v>
      </c>
      <c r="T18" s="13">
        <v>-905405033.64999998</v>
      </c>
      <c r="U18" s="40">
        <v>1</v>
      </c>
      <c r="V18" s="15">
        <v>0</v>
      </c>
      <c r="W18" s="16">
        <v>0</v>
      </c>
      <c r="X18" s="16">
        <v>-1392930821</v>
      </c>
    </row>
    <row r="19" spans="1:24" x14ac:dyDescent="0.45">
      <c r="A19" s="36" t="s">
        <v>31</v>
      </c>
      <c r="B19" s="36" t="s">
        <v>77</v>
      </c>
      <c r="C19" s="36" t="s">
        <v>102</v>
      </c>
      <c r="D19" s="5">
        <v>1392930821</v>
      </c>
      <c r="E19" s="6">
        <v>45597</v>
      </c>
      <c r="F19" s="7">
        <v>46295</v>
      </c>
      <c r="G19" s="7">
        <f t="shared" si="0"/>
        <v>45869</v>
      </c>
      <c r="H19" s="8">
        <v>22.97</v>
      </c>
      <c r="I19" s="8">
        <v>-13.969999999999999</v>
      </c>
      <c r="J19" s="9">
        <v>9</v>
      </c>
      <c r="K19" s="3">
        <v>11</v>
      </c>
      <c r="L19" s="17">
        <f t="shared" si="2"/>
        <v>0.81818181818181823</v>
      </c>
      <c r="M19" s="17">
        <v>0.7</v>
      </c>
      <c r="N19" s="17">
        <v>0</v>
      </c>
      <c r="O19" s="13">
        <v>0</v>
      </c>
      <c r="P19" s="13">
        <v>0</v>
      </c>
      <c r="Q19" s="13">
        <v>0</v>
      </c>
      <c r="R19" s="13">
        <v>975051574.69999993</v>
      </c>
      <c r="S19" s="13">
        <v>0</v>
      </c>
      <c r="T19" s="13">
        <v>-975051574.69999993</v>
      </c>
      <c r="U19" s="40">
        <v>1</v>
      </c>
      <c r="V19" s="15">
        <v>0</v>
      </c>
      <c r="W19" s="16">
        <v>0</v>
      </c>
      <c r="X19" s="16">
        <v>-1392930821</v>
      </c>
    </row>
    <row r="20" spans="1:24" x14ac:dyDescent="0.45">
      <c r="A20" s="36" t="s">
        <v>31</v>
      </c>
      <c r="B20" s="36" t="s">
        <v>77</v>
      </c>
      <c r="C20" s="36" t="s">
        <v>102</v>
      </c>
      <c r="D20" s="5">
        <v>1392930821</v>
      </c>
      <c r="E20" s="6">
        <v>45597</v>
      </c>
      <c r="F20" s="7">
        <v>46295</v>
      </c>
      <c r="G20" s="7">
        <f t="shared" si="0"/>
        <v>45900</v>
      </c>
      <c r="H20" s="8">
        <v>22.97</v>
      </c>
      <c r="I20" s="8">
        <v>-12.969999999999999</v>
      </c>
      <c r="J20" s="9">
        <v>10</v>
      </c>
      <c r="K20" s="3">
        <v>11</v>
      </c>
      <c r="L20" s="17">
        <f t="shared" si="2"/>
        <v>0.90909090909090906</v>
      </c>
      <c r="M20" s="17">
        <v>0.8</v>
      </c>
      <c r="N20" s="17">
        <v>0</v>
      </c>
      <c r="O20" s="13">
        <v>0</v>
      </c>
      <c r="P20" s="13">
        <v>0</v>
      </c>
      <c r="Q20" s="13">
        <v>0</v>
      </c>
      <c r="R20" s="13">
        <v>1114344656.8</v>
      </c>
      <c r="S20" s="13">
        <v>0</v>
      </c>
      <c r="T20" s="13">
        <v>-1114344656.8</v>
      </c>
      <c r="U20" s="40">
        <v>1</v>
      </c>
      <c r="V20" s="15">
        <v>0</v>
      </c>
      <c r="W20" s="16">
        <v>0</v>
      </c>
      <c r="X20" s="16">
        <v>-1392930821</v>
      </c>
    </row>
    <row r="21" spans="1:24" x14ac:dyDescent="0.45">
      <c r="A21" s="36" t="s">
        <v>31</v>
      </c>
      <c r="B21" s="36" t="s">
        <v>77</v>
      </c>
      <c r="C21" s="36" t="s">
        <v>102</v>
      </c>
      <c r="D21" s="5">
        <v>1392930821</v>
      </c>
      <c r="E21" s="6">
        <v>45597</v>
      </c>
      <c r="F21" s="7">
        <v>46295</v>
      </c>
      <c r="G21" s="7">
        <f t="shared" si="0"/>
        <v>45930</v>
      </c>
      <c r="H21" s="8">
        <v>22.97</v>
      </c>
      <c r="I21" s="8">
        <v>-11.969999999999999</v>
      </c>
      <c r="J21" s="9">
        <v>11</v>
      </c>
      <c r="K21" s="3">
        <v>11</v>
      </c>
      <c r="L21" s="17">
        <f t="shared" si="2"/>
        <v>1</v>
      </c>
      <c r="M21" s="17">
        <v>1</v>
      </c>
      <c r="N21" s="17">
        <v>0</v>
      </c>
      <c r="O21" s="13">
        <v>0</v>
      </c>
      <c r="P21" s="13">
        <v>0</v>
      </c>
      <c r="Q21" s="13">
        <v>0</v>
      </c>
      <c r="R21" s="13">
        <v>1392930821</v>
      </c>
      <c r="S21" s="13">
        <v>0</v>
      </c>
      <c r="T21" s="13">
        <v>-1392930821</v>
      </c>
      <c r="U21" s="40">
        <v>1</v>
      </c>
      <c r="V21" s="15">
        <v>0</v>
      </c>
      <c r="W21" s="16">
        <v>0</v>
      </c>
      <c r="X21" s="16">
        <v>-1392930821</v>
      </c>
    </row>
    <row r="22" spans="1:24" x14ac:dyDescent="0.45">
      <c r="A22" s="36" t="s">
        <v>51</v>
      </c>
      <c r="B22" s="36" t="s">
        <v>94</v>
      </c>
      <c r="C22" s="36" t="s">
        <v>103</v>
      </c>
      <c r="D22" s="5">
        <v>3691676726</v>
      </c>
      <c r="E22" s="6">
        <v>45905</v>
      </c>
      <c r="F22" s="7">
        <v>46757</v>
      </c>
      <c r="G22" s="7">
        <f t="shared" si="0"/>
        <v>45930</v>
      </c>
      <c r="H22" s="8">
        <v>28</v>
      </c>
      <c r="I22" s="8">
        <v>-27</v>
      </c>
      <c r="J22" s="9">
        <v>1</v>
      </c>
      <c r="K22" s="3">
        <v>23</v>
      </c>
      <c r="L22" s="17">
        <f t="shared" si="2"/>
        <v>0.2</v>
      </c>
      <c r="M22" s="17">
        <v>0.05</v>
      </c>
      <c r="N22" s="17">
        <v>0.05</v>
      </c>
      <c r="O22" s="13">
        <v>167662328</v>
      </c>
      <c r="P22" s="13">
        <v>167662328</v>
      </c>
      <c r="Q22" s="13">
        <v>184583836.30000001</v>
      </c>
      <c r="R22" s="13">
        <v>184583836.30000001</v>
      </c>
      <c r="S22" s="13">
        <v>16921508.300000012</v>
      </c>
      <c r="T22" s="13">
        <v>0</v>
      </c>
      <c r="U22" s="14">
        <v>1.1009261203864473</v>
      </c>
      <c r="V22" s="15">
        <v>1</v>
      </c>
      <c r="W22" s="16">
        <v>3353246559.9999995</v>
      </c>
      <c r="X22" s="16">
        <v>-338430166.00000048</v>
      </c>
    </row>
    <row r="23" spans="1:24" x14ac:dyDescent="0.45">
      <c r="A23" s="36" t="s">
        <v>51</v>
      </c>
      <c r="B23" s="36" t="s">
        <v>94</v>
      </c>
      <c r="C23" s="36" t="s">
        <v>103</v>
      </c>
      <c r="D23" s="5">
        <v>3691676726</v>
      </c>
      <c r="E23" s="6">
        <v>45905</v>
      </c>
      <c r="F23" s="7">
        <v>46757</v>
      </c>
      <c r="G23" s="7">
        <f t="shared" si="0"/>
        <v>45961</v>
      </c>
      <c r="H23" s="8">
        <v>28</v>
      </c>
      <c r="I23" s="8">
        <v>-26</v>
      </c>
      <c r="J23" s="9">
        <v>2</v>
      </c>
      <c r="K23" s="3">
        <v>23</v>
      </c>
      <c r="L23" s="17">
        <f t="shared" si="2"/>
        <v>0.4</v>
      </c>
      <c r="M23" s="17">
        <v>7.0000000000000007E-2</v>
      </c>
      <c r="N23" s="17">
        <v>7.0000000000000007E-2</v>
      </c>
      <c r="O23" s="13">
        <v>125999800</v>
      </c>
      <c r="P23" s="13">
        <v>125999800</v>
      </c>
      <c r="Q23" s="13">
        <v>258417370.82000002</v>
      </c>
      <c r="R23" s="13">
        <v>258417370.82000002</v>
      </c>
      <c r="S23" s="13">
        <v>132417570.82000002</v>
      </c>
      <c r="T23" s="13">
        <v>0</v>
      </c>
      <c r="U23" s="14">
        <v>2.0509347698964602</v>
      </c>
      <c r="V23" s="15">
        <v>1</v>
      </c>
      <c r="W23" s="16">
        <v>1799997142.8571429</v>
      </c>
      <c r="X23" s="16">
        <v>-1891679583.1428571</v>
      </c>
    </row>
    <row r="24" spans="1:24" x14ac:dyDescent="0.45">
      <c r="A24" s="36" t="s">
        <v>51</v>
      </c>
      <c r="B24" s="36" t="s">
        <v>94</v>
      </c>
      <c r="C24" s="36" t="s">
        <v>103</v>
      </c>
      <c r="D24" s="5">
        <v>3691676726</v>
      </c>
      <c r="E24" s="6">
        <v>45905</v>
      </c>
      <c r="F24" s="7">
        <v>46757</v>
      </c>
      <c r="G24" s="7">
        <f t="shared" si="0"/>
        <v>45991</v>
      </c>
      <c r="H24" s="8">
        <v>28</v>
      </c>
      <c r="I24" s="8">
        <v>-25</v>
      </c>
      <c r="J24" s="9">
        <v>3</v>
      </c>
      <c r="K24" s="3">
        <v>23</v>
      </c>
      <c r="L24" s="17">
        <f t="shared" si="2"/>
        <v>0.6</v>
      </c>
      <c r="M24" s="17">
        <v>0.11</v>
      </c>
      <c r="N24" s="17">
        <v>0.11</v>
      </c>
      <c r="O24" s="13">
        <v>125999800</v>
      </c>
      <c r="P24" s="13">
        <v>125999800</v>
      </c>
      <c r="Q24" s="13">
        <v>406084439.86000001</v>
      </c>
      <c r="R24" s="13">
        <v>406084439.86000001</v>
      </c>
      <c r="S24" s="13">
        <v>280084639.86000001</v>
      </c>
      <c r="T24" s="13">
        <v>0</v>
      </c>
      <c r="U24" s="14">
        <v>3.2228974955515803</v>
      </c>
      <c r="V24" s="15">
        <v>1</v>
      </c>
      <c r="W24" s="16">
        <v>1145452727.2727273</v>
      </c>
      <c r="X24" s="16">
        <v>-2546223998.727273</v>
      </c>
    </row>
    <row r="25" spans="1:24" x14ac:dyDescent="0.45">
      <c r="A25" s="36" t="s">
        <v>51</v>
      </c>
      <c r="B25" s="36" t="s">
        <v>94</v>
      </c>
      <c r="C25" s="36" t="s">
        <v>103</v>
      </c>
      <c r="D25" s="5">
        <v>3691676726</v>
      </c>
      <c r="E25" s="6">
        <v>45905</v>
      </c>
      <c r="F25" s="7">
        <v>46757</v>
      </c>
      <c r="G25" s="7">
        <f t="shared" si="0"/>
        <v>46022</v>
      </c>
      <c r="H25" s="8">
        <v>28</v>
      </c>
      <c r="I25" s="8">
        <v>-24</v>
      </c>
      <c r="J25" s="9">
        <v>4</v>
      </c>
      <c r="K25" s="3">
        <v>23</v>
      </c>
      <c r="L25" s="17">
        <f t="shared" si="2"/>
        <v>0.8</v>
      </c>
      <c r="M25" s="17">
        <v>0.13666666666666699</v>
      </c>
      <c r="N25" s="17">
        <v>0.13666666666666699</v>
      </c>
      <c r="O25" s="13">
        <v>125999800</v>
      </c>
      <c r="P25" s="13">
        <v>125999800</v>
      </c>
      <c r="Q25" s="13">
        <v>504529152.55333453</v>
      </c>
      <c r="R25" s="13">
        <v>504529152.55333453</v>
      </c>
      <c r="S25" s="13">
        <v>378529352.55333453</v>
      </c>
      <c r="T25" s="13">
        <v>0</v>
      </c>
      <c r="U25" s="14">
        <v>4.0042059793216698</v>
      </c>
      <c r="V25" s="15">
        <v>1</v>
      </c>
      <c r="W25" s="16">
        <v>921949756.09755874</v>
      </c>
      <c r="X25" s="16">
        <v>-2769726969.902441</v>
      </c>
    </row>
    <row r="26" spans="1:24" x14ac:dyDescent="0.45">
      <c r="A26" s="36" t="s">
        <v>51</v>
      </c>
      <c r="B26" s="36" t="s">
        <v>94</v>
      </c>
      <c r="C26" s="36" t="s">
        <v>103</v>
      </c>
      <c r="D26" s="5">
        <v>3691676726</v>
      </c>
      <c r="E26" s="6">
        <v>45905</v>
      </c>
      <c r="F26" s="7">
        <v>46757</v>
      </c>
      <c r="G26" s="7">
        <f t="shared" si="0"/>
        <v>46053</v>
      </c>
      <c r="H26" s="8">
        <v>28</v>
      </c>
      <c r="I26" s="8">
        <v>-23</v>
      </c>
      <c r="J26" s="9">
        <v>5</v>
      </c>
      <c r="K26" s="3">
        <v>23</v>
      </c>
      <c r="L26" s="17">
        <f t="shared" si="2"/>
        <v>1</v>
      </c>
      <c r="M26" s="17">
        <v>0.16666666666666699</v>
      </c>
      <c r="N26" s="17">
        <v>0.16666666666666699</v>
      </c>
      <c r="O26" s="13">
        <v>125999800</v>
      </c>
      <c r="P26" s="13">
        <v>125999800</v>
      </c>
      <c r="Q26" s="13">
        <v>615279454.33333457</v>
      </c>
      <c r="R26" s="13">
        <v>615279454.33333457</v>
      </c>
      <c r="S26" s="13">
        <v>489279654.33333457</v>
      </c>
      <c r="T26" s="13">
        <v>0</v>
      </c>
      <c r="U26" s="14">
        <v>4.8831780235630102</v>
      </c>
      <c r="V26" s="15">
        <v>1</v>
      </c>
      <c r="W26" s="16">
        <v>755998799.99999845</v>
      </c>
      <c r="X26" s="16">
        <v>-2935677926.0000014</v>
      </c>
    </row>
    <row r="27" spans="1:24" x14ac:dyDescent="0.45">
      <c r="A27" s="3" t="s">
        <v>72</v>
      </c>
      <c r="B27" s="3" t="s">
        <v>88</v>
      </c>
      <c r="C27" s="3" t="s">
        <v>103</v>
      </c>
      <c r="D27" s="5">
        <v>820808275</v>
      </c>
      <c r="E27" s="6">
        <v>46054</v>
      </c>
      <c r="F27" s="7">
        <v>46843</v>
      </c>
      <c r="G27" s="7">
        <f t="shared" si="0"/>
        <v>46081</v>
      </c>
      <c r="H27" s="8">
        <v>26</v>
      </c>
      <c r="I27" s="8">
        <v>-25</v>
      </c>
      <c r="J27" s="9">
        <v>1</v>
      </c>
      <c r="K27" s="3">
        <v>26</v>
      </c>
      <c r="L27" s="17">
        <f t="shared" si="2"/>
        <v>1</v>
      </c>
      <c r="M27" s="17">
        <v>0.05</v>
      </c>
      <c r="N27" s="17">
        <v>0.05</v>
      </c>
      <c r="O27" s="13">
        <v>766255093</v>
      </c>
      <c r="P27" s="13">
        <v>766255093</v>
      </c>
      <c r="Q27" s="13">
        <v>41040413.75</v>
      </c>
      <c r="R27" s="13">
        <v>41040413.75</v>
      </c>
      <c r="S27" s="13">
        <v>-725214679.25</v>
      </c>
      <c r="T27" s="13">
        <v>0</v>
      </c>
      <c r="U27" s="14">
        <v>5.355972720431889E-2</v>
      </c>
      <c r="V27" s="15">
        <v>1</v>
      </c>
      <c r="W27" s="16">
        <v>15325101860</v>
      </c>
      <c r="X27" s="16">
        <v>14504293585</v>
      </c>
    </row>
    <row r="28" spans="1:24" x14ac:dyDescent="0.45">
      <c r="A28" s="3" t="s">
        <v>26</v>
      </c>
      <c r="B28" s="3" t="s">
        <v>87</v>
      </c>
      <c r="C28" s="3" t="s">
        <v>103</v>
      </c>
      <c r="D28" s="5">
        <v>792295683</v>
      </c>
      <c r="E28" s="6">
        <v>45537</v>
      </c>
      <c r="F28" s="7">
        <v>45838</v>
      </c>
      <c r="G28" s="7">
        <f t="shared" ref="G28:G44" si="3">EOMONTH(E28,J28-1)</f>
        <v>45565</v>
      </c>
      <c r="H28" s="8">
        <v>9.93</v>
      </c>
      <c r="I28" s="8">
        <v>-8.93</v>
      </c>
      <c r="J28" s="9">
        <v>1</v>
      </c>
      <c r="K28" s="3">
        <v>10</v>
      </c>
      <c r="L28" s="17">
        <f t="shared" si="2"/>
        <v>0.1</v>
      </c>
      <c r="M28" s="17">
        <v>0.1</v>
      </c>
      <c r="N28" s="17">
        <v>0.1</v>
      </c>
      <c r="O28" s="13">
        <v>-113185098</v>
      </c>
      <c r="P28" s="13">
        <v>-113185098</v>
      </c>
      <c r="Q28" s="13">
        <v>79229568.299999997</v>
      </c>
      <c r="R28" s="13">
        <v>79229568.299999997</v>
      </c>
      <c r="S28" s="13">
        <v>192414666.30000001</v>
      </c>
      <c r="T28" s="13">
        <v>0</v>
      </c>
      <c r="U28" s="14">
        <v>-0.69999999734947438</v>
      </c>
      <c r="V28" s="15">
        <v>1</v>
      </c>
      <c r="W28" s="16">
        <v>-1131850980</v>
      </c>
      <c r="X28" s="16">
        <v>-1924146663</v>
      </c>
    </row>
    <row r="29" spans="1:24" x14ac:dyDescent="0.45">
      <c r="A29" s="3" t="s">
        <v>26</v>
      </c>
      <c r="B29" s="3" t="s">
        <v>87</v>
      </c>
      <c r="C29" s="3" t="s">
        <v>103</v>
      </c>
      <c r="D29" s="5">
        <v>792295683</v>
      </c>
      <c r="E29" s="6">
        <v>45537</v>
      </c>
      <c r="F29" s="7">
        <v>45838</v>
      </c>
      <c r="G29" s="7">
        <f t="shared" si="3"/>
        <v>45596</v>
      </c>
      <c r="H29" s="8">
        <v>9.93</v>
      </c>
      <c r="I29" s="8">
        <v>-7.93</v>
      </c>
      <c r="J29" s="9">
        <v>2</v>
      </c>
      <c r="K29" s="3">
        <v>10</v>
      </c>
      <c r="L29" s="17">
        <f t="shared" si="2"/>
        <v>0.2</v>
      </c>
      <c r="M29" s="17">
        <v>0.2</v>
      </c>
      <c r="N29" s="17">
        <v>0.2</v>
      </c>
      <c r="O29" s="13">
        <v>-113185098</v>
      </c>
      <c r="P29" s="13">
        <v>-113185098</v>
      </c>
      <c r="Q29" s="13">
        <v>158459136.59999999</v>
      </c>
      <c r="R29" s="13">
        <v>158459136.59999999</v>
      </c>
      <c r="S29" s="13">
        <v>271644234.60000002</v>
      </c>
      <c r="T29" s="13">
        <v>0</v>
      </c>
      <c r="U29" s="14">
        <v>-1.3999999946989488</v>
      </c>
      <c r="V29" s="15">
        <v>1</v>
      </c>
      <c r="W29" s="16">
        <v>-565925490</v>
      </c>
      <c r="X29" s="16">
        <v>-1358221173</v>
      </c>
    </row>
    <row r="30" spans="1:24" x14ac:dyDescent="0.45">
      <c r="A30" s="3" t="s">
        <v>26</v>
      </c>
      <c r="B30" s="3" t="s">
        <v>87</v>
      </c>
      <c r="C30" s="3" t="s">
        <v>103</v>
      </c>
      <c r="D30" s="5">
        <v>792295683</v>
      </c>
      <c r="E30" s="6">
        <v>45537</v>
      </c>
      <c r="F30" s="7">
        <v>45838</v>
      </c>
      <c r="G30" s="7">
        <f t="shared" si="3"/>
        <v>45626</v>
      </c>
      <c r="H30" s="8">
        <v>9.93</v>
      </c>
      <c r="I30" s="8">
        <v>-6.93</v>
      </c>
      <c r="J30" s="9">
        <v>3</v>
      </c>
      <c r="K30" s="3">
        <v>10</v>
      </c>
      <c r="L30" s="17">
        <f t="shared" si="2"/>
        <v>0.3</v>
      </c>
      <c r="M30" s="17">
        <v>0.3</v>
      </c>
      <c r="N30" s="17">
        <v>0.3</v>
      </c>
      <c r="O30" s="13">
        <v>70981569</v>
      </c>
      <c r="P30" s="13">
        <v>70981569</v>
      </c>
      <c r="Q30" s="13">
        <v>237688704.90000001</v>
      </c>
      <c r="R30" s="13">
        <v>237688704.90000001</v>
      </c>
      <c r="S30" s="13">
        <v>166707135.90000001</v>
      </c>
      <c r="T30" s="13">
        <v>0</v>
      </c>
      <c r="U30" s="14">
        <v>3.3485975056426267</v>
      </c>
      <c r="V30" s="15">
        <v>1</v>
      </c>
      <c r="W30" s="16">
        <v>236605230</v>
      </c>
      <c r="X30" s="16">
        <v>-555690453</v>
      </c>
    </row>
    <row r="31" spans="1:24" x14ac:dyDescent="0.45">
      <c r="A31" s="3" t="s">
        <v>26</v>
      </c>
      <c r="B31" s="3" t="s">
        <v>87</v>
      </c>
      <c r="C31" s="3" t="s">
        <v>103</v>
      </c>
      <c r="D31" s="5">
        <v>792295683</v>
      </c>
      <c r="E31" s="6">
        <v>45537</v>
      </c>
      <c r="F31" s="7">
        <v>45838</v>
      </c>
      <c r="G31" s="7">
        <f t="shared" si="3"/>
        <v>45657</v>
      </c>
      <c r="H31" s="8">
        <v>9.93</v>
      </c>
      <c r="I31" s="8">
        <v>-5.93</v>
      </c>
      <c r="J31" s="9">
        <v>4</v>
      </c>
      <c r="K31" s="3">
        <v>10</v>
      </c>
      <c r="L31" s="17">
        <f t="shared" si="2"/>
        <v>0.4</v>
      </c>
      <c r="M31" s="17">
        <v>0.4</v>
      </c>
      <c r="N31" s="17">
        <v>0.4</v>
      </c>
      <c r="O31" s="13">
        <v>70981569</v>
      </c>
      <c r="P31" s="13">
        <v>70981569</v>
      </c>
      <c r="Q31" s="13">
        <v>316918273.19999999</v>
      </c>
      <c r="R31" s="13">
        <v>316918273.19999999</v>
      </c>
      <c r="S31" s="13">
        <v>245936704.19999999</v>
      </c>
      <c r="T31" s="13">
        <v>0</v>
      </c>
      <c r="U31" s="14">
        <v>4.4647966741901692</v>
      </c>
      <c r="V31" s="15">
        <v>1</v>
      </c>
      <c r="W31" s="16">
        <v>177453922.5</v>
      </c>
      <c r="X31" s="16">
        <v>-614841760.5</v>
      </c>
    </row>
    <row r="32" spans="1:24" x14ac:dyDescent="0.45">
      <c r="A32" s="3" t="s">
        <v>26</v>
      </c>
      <c r="B32" s="3" t="s">
        <v>87</v>
      </c>
      <c r="C32" s="3" t="s">
        <v>103</v>
      </c>
      <c r="D32" s="5">
        <v>792295683</v>
      </c>
      <c r="E32" s="6">
        <v>45537</v>
      </c>
      <c r="F32" s="7">
        <v>45838</v>
      </c>
      <c r="G32" s="7">
        <f t="shared" si="3"/>
        <v>45688</v>
      </c>
      <c r="H32" s="8">
        <v>9.93</v>
      </c>
      <c r="I32" s="8">
        <v>-4.93</v>
      </c>
      <c r="J32" s="9">
        <v>5</v>
      </c>
      <c r="K32" s="3">
        <v>10</v>
      </c>
      <c r="L32" s="17">
        <f t="shared" si="2"/>
        <v>0.5</v>
      </c>
      <c r="M32" s="17">
        <v>0.5</v>
      </c>
      <c r="N32" s="17">
        <v>0.5</v>
      </c>
      <c r="O32" s="13">
        <v>70981569</v>
      </c>
      <c r="P32" s="13">
        <v>70981569</v>
      </c>
      <c r="Q32" s="13">
        <v>396147841.5</v>
      </c>
      <c r="R32" s="13">
        <v>396147841.5</v>
      </c>
      <c r="S32" s="13">
        <v>325166272.5</v>
      </c>
      <c r="T32" s="13">
        <v>0</v>
      </c>
      <c r="U32" s="14">
        <v>5.5809958427377113</v>
      </c>
      <c r="V32" s="15">
        <v>1</v>
      </c>
      <c r="W32" s="16">
        <v>141963138</v>
      </c>
      <c r="X32" s="16">
        <v>-650332545</v>
      </c>
    </row>
    <row r="33" spans="1:24" x14ac:dyDescent="0.45">
      <c r="A33" s="3" t="s">
        <v>26</v>
      </c>
      <c r="B33" s="3" t="s">
        <v>87</v>
      </c>
      <c r="C33" s="3" t="s">
        <v>103</v>
      </c>
      <c r="D33" s="5">
        <v>792295683</v>
      </c>
      <c r="E33" s="6">
        <v>45537</v>
      </c>
      <c r="F33" s="7">
        <v>45838</v>
      </c>
      <c r="G33" s="7">
        <f t="shared" si="3"/>
        <v>45716</v>
      </c>
      <c r="H33" s="8">
        <v>9.93</v>
      </c>
      <c r="I33" s="8">
        <v>-3.9299999999999997</v>
      </c>
      <c r="J33" s="9">
        <v>6</v>
      </c>
      <c r="K33" s="3">
        <v>10</v>
      </c>
      <c r="L33" s="17">
        <f t="shared" si="2"/>
        <v>0.6</v>
      </c>
      <c r="M33" s="17">
        <v>0.6</v>
      </c>
      <c r="N33" s="17">
        <v>0.6</v>
      </c>
      <c r="O33" s="13">
        <v>70981569</v>
      </c>
      <c r="P33" s="13">
        <v>70981569</v>
      </c>
      <c r="Q33" s="13">
        <v>475377409.80000001</v>
      </c>
      <c r="R33" s="13">
        <v>475377409.80000001</v>
      </c>
      <c r="S33" s="13">
        <v>404395840.80000001</v>
      </c>
      <c r="T33" s="13">
        <v>0</v>
      </c>
      <c r="U33" s="14">
        <v>6.6971950112852534</v>
      </c>
      <c r="V33" s="15">
        <v>1</v>
      </c>
      <c r="W33" s="16">
        <v>118302615</v>
      </c>
      <c r="X33" s="16">
        <v>-673993068</v>
      </c>
    </row>
    <row r="34" spans="1:24" x14ac:dyDescent="0.45">
      <c r="A34" s="3" t="s">
        <v>26</v>
      </c>
      <c r="B34" s="3" t="s">
        <v>87</v>
      </c>
      <c r="C34" s="3" t="s">
        <v>103</v>
      </c>
      <c r="D34" s="5">
        <v>792295683</v>
      </c>
      <c r="E34" s="6">
        <v>45537</v>
      </c>
      <c r="F34" s="7">
        <v>45838</v>
      </c>
      <c r="G34" s="7">
        <f t="shared" si="3"/>
        <v>45747</v>
      </c>
      <c r="H34" s="8">
        <v>9.93</v>
      </c>
      <c r="I34" s="8">
        <v>-2.9299999999999997</v>
      </c>
      <c r="J34" s="9">
        <v>7</v>
      </c>
      <c r="K34" s="3">
        <v>10</v>
      </c>
      <c r="L34" s="17">
        <f t="shared" si="2"/>
        <v>0.7</v>
      </c>
      <c r="M34" s="17">
        <v>0.7</v>
      </c>
      <c r="N34" s="17">
        <v>0.7</v>
      </c>
      <c r="O34" s="13">
        <v>70981569</v>
      </c>
      <c r="P34" s="13">
        <v>70981569</v>
      </c>
      <c r="Q34" s="13">
        <v>554606978.10000002</v>
      </c>
      <c r="R34" s="13">
        <v>554606978.10000002</v>
      </c>
      <c r="S34" s="13">
        <v>483625409.10000002</v>
      </c>
      <c r="T34" s="13">
        <v>0</v>
      </c>
      <c r="U34" s="14">
        <v>7.8133941798327964</v>
      </c>
      <c r="V34" s="15">
        <v>1</v>
      </c>
      <c r="W34" s="16">
        <v>101402241.42857142</v>
      </c>
      <c r="X34" s="16">
        <v>-690893441.57142854</v>
      </c>
    </row>
    <row r="35" spans="1:24" x14ac:dyDescent="0.45">
      <c r="A35" s="3" t="s">
        <v>26</v>
      </c>
      <c r="B35" s="3" t="s">
        <v>87</v>
      </c>
      <c r="C35" s="3" t="s">
        <v>103</v>
      </c>
      <c r="D35" s="5">
        <v>792295683</v>
      </c>
      <c r="E35" s="6">
        <v>45537</v>
      </c>
      <c r="F35" s="7">
        <v>45838</v>
      </c>
      <c r="G35" s="7">
        <f t="shared" si="3"/>
        <v>45777</v>
      </c>
      <c r="H35" s="8">
        <v>9.93</v>
      </c>
      <c r="I35" s="8">
        <v>-1.9299999999999997</v>
      </c>
      <c r="J35" s="9">
        <v>8</v>
      </c>
      <c r="K35" s="3">
        <v>10</v>
      </c>
      <c r="L35" s="17">
        <f t="shared" si="2"/>
        <v>0.8</v>
      </c>
      <c r="M35" s="17">
        <v>0.8</v>
      </c>
      <c r="N35" s="17">
        <v>0.8</v>
      </c>
      <c r="O35" s="13">
        <v>184166667</v>
      </c>
      <c r="P35" s="13">
        <v>184166667</v>
      </c>
      <c r="Q35" s="13">
        <v>633836546.39999998</v>
      </c>
      <c r="R35" s="13">
        <v>633836546.39999998</v>
      </c>
      <c r="S35" s="13">
        <v>449669879.39999998</v>
      </c>
      <c r="T35" s="13">
        <v>0</v>
      </c>
      <c r="U35" s="14">
        <v>3.441646399562631</v>
      </c>
      <c r="V35" s="15">
        <v>1</v>
      </c>
      <c r="W35" s="16">
        <v>230208333.75</v>
      </c>
      <c r="X35" s="16">
        <v>-562087349.25</v>
      </c>
    </row>
    <row r="36" spans="1:24" x14ac:dyDescent="0.45">
      <c r="A36" s="3" t="s">
        <v>26</v>
      </c>
      <c r="B36" s="3" t="s">
        <v>87</v>
      </c>
      <c r="C36" s="3" t="s">
        <v>103</v>
      </c>
      <c r="D36" s="5">
        <v>792295683</v>
      </c>
      <c r="E36" s="6">
        <v>45537</v>
      </c>
      <c r="F36" s="7">
        <v>45838</v>
      </c>
      <c r="G36" s="7">
        <f t="shared" si="3"/>
        <v>45808</v>
      </c>
      <c r="H36" s="8">
        <v>9.93</v>
      </c>
      <c r="I36" s="8">
        <v>-0.92999999999999972</v>
      </c>
      <c r="J36" s="9">
        <v>9</v>
      </c>
      <c r="K36" s="3">
        <v>10</v>
      </c>
      <c r="L36" s="17">
        <f t="shared" si="2"/>
        <v>0.9</v>
      </c>
      <c r="M36" s="17">
        <v>0.9</v>
      </c>
      <c r="N36" s="17">
        <v>0.9</v>
      </c>
      <c r="O36" s="13" t="s">
        <v>121</v>
      </c>
      <c r="P36" s="13" t="s">
        <v>121</v>
      </c>
      <c r="Q36" s="13">
        <v>713066114.70000005</v>
      </c>
      <c r="R36" s="13">
        <v>713066114.70000005</v>
      </c>
      <c r="S36" s="13">
        <v>0</v>
      </c>
      <c r="T36" s="13">
        <v>0</v>
      </c>
      <c r="U36" s="40">
        <v>1</v>
      </c>
      <c r="V36" s="15">
        <v>1</v>
      </c>
      <c r="W36" s="16">
        <v>0</v>
      </c>
      <c r="X36" s="16">
        <v>-792295683</v>
      </c>
    </row>
    <row r="37" spans="1:24" x14ac:dyDescent="0.45">
      <c r="A37" s="3" t="s">
        <v>26</v>
      </c>
      <c r="B37" s="3" t="s">
        <v>87</v>
      </c>
      <c r="C37" s="3" t="s">
        <v>103</v>
      </c>
      <c r="D37" s="5">
        <v>792295683</v>
      </c>
      <c r="E37" s="6">
        <v>45537</v>
      </c>
      <c r="F37" s="7">
        <v>45838</v>
      </c>
      <c r="G37" s="7">
        <f t="shared" si="3"/>
        <v>45838</v>
      </c>
      <c r="H37" s="8">
        <v>9.93</v>
      </c>
      <c r="I37" s="8">
        <v>7.0000000000000284E-2</v>
      </c>
      <c r="J37" s="9">
        <v>10</v>
      </c>
      <c r="K37" s="3">
        <v>10</v>
      </c>
      <c r="L37" s="17">
        <f t="shared" si="2"/>
        <v>1</v>
      </c>
      <c r="M37" s="17">
        <v>1</v>
      </c>
      <c r="N37" s="17">
        <v>1</v>
      </c>
      <c r="O37" s="13" t="s">
        <v>121</v>
      </c>
      <c r="P37" s="13" t="s">
        <v>121</v>
      </c>
      <c r="Q37" s="13">
        <v>792295683</v>
      </c>
      <c r="R37" s="13">
        <v>792295683</v>
      </c>
      <c r="S37" s="13">
        <v>0</v>
      </c>
      <c r="T37" s="13">
        <v>0</v>
      </c>
      <c r="U37" s="40">
        <v>1</v>
      </c>
      <c r="V37" s="15">
        <v>1</v>
      </c>
      <c r="W37" s="16">
        <v>0</v>
      </c>
      <c r="X37" s="16">
        <v>-792295683</v>
      </c>
    </row>
    <row r="38" spans="1:24" x14ac:dyDescent="0.45">
      <c r="A38" s="3" t="s">
        <v>62</v>
      </c>
      <c r="B38" s="3" t="s">
        <v>81</v>
      </c>
      <c r="C38" s="3" t="s">
        <v>102</v>
      </c>
      <c r="D38" s="5">
        <v>484465444</v>
      </c>
      <c r="E38" s="6">
        <v>45965</v>
      </c>
      <c r="F38" s="7">
        <v>46695</v>
      </c>
      <c r="G38" s="7">
        <f t="shared" si="3"/>
        <v>45991</v>
      </c>
      <c r="H38" s="8">
        <v>24</v>
      </c>
      <c r="I38" s="8">
        <v>-23</v>
      </c>
      <c r="J38" s="9">
        <v>1</v>
      </c>
      <c r="K38" s="3">
        <v>25</v>
      </c>
      <c r="L38" s="17">
        <f t="shared" si="2"/>
        <v>0.33333333333333331</v>
      </c>
      <c r="M38" s="17">
        <v>0.05</v>
      </c>
      <c r="N38" s="17">
        <v>0.05</v>
      </c>
      <c r="O38" s="37">
        <v>8362120</v>
      </c>
      <c r="P38" s="37">
        <v>8362120</v>
      </c>
      <c r="Q38" s="13">
        <v>24223272.200000003</v>
      </c>
      <c r="R38" s="13">
        <v>24223272.200000003</v>
      </c>
      <c r="S38" s="13">
        <v>15861152.200000003</v>
      </c>
      <c r="T38" s="13">
        <v>0</v>
      </c>
      <c r="U38" s="14">
        <v>2.8967860064194251</v>
      </c>
      <c r="V38" s="15">
        <v>1</v>
      </c>
      <c r="W38" s="16">
        <v>167242399.99999997</v>
      </c>
      <c r="X38" s="16">
        <v>-317223044</v>
      </c>
    </row>
    <row r="39" spans="1:24" x14ac:dyDescent="0.45">
      <c r="A39" s="3" t="s">
        <v>62</v>
      </c>
      <c r="B39" s="3" t="s">
        <v>81</v>
      </c>
      <c r="C39" s="3" t="s">
        <v>102</v>
      </c>
      <c r="D39" s="5">
        <v>484465444</v>
      </c>
      <c r="E39" s="6">
        <v>45965</v>
      </c>
      <c r="F39" s="7">
        <v>46695</v>
      </c>
      <c r="G39" s="7">
        <f t="shared" si="3"/>
        <v>46022</v>
      </c>
      <c r="H39" s="8">
        <v>24</v>
      </c>
      <c r="I39" s="8">
        <v>-22</v>
      </c>
      <c r="J39" s="9">
        <v>2</v>
      </c>
      <c r="K39" s="3">
        <v>25</v>
      </c>
      <c r="L39" s="17">
        <f t="shared" si="2"/>
        <v>0.66666666666666663</v>
      </c>
      <c r="M39" s="17">
        <v>0.1</v>
      </c>
      <c r="N39" s="17">
        <v>0.1</v>
      </c>
      <c r="O39" s="37">
        <v>25921600</v>
      </c>
      <c r="P39" s="37">
        <v>25921600</v>
      </c>
      <c r="Q39" s="13">
        <v>48446544.400000006</v>
      </c>
      <c r="R39" s="13">
        <v>48446544.400000006</v>
      </c>
      <c r="S39" s="13">
        <v>22524944.400000006</v>
      </c>
      <c r="T39" s="13">
        <v>0</v>
      </c>
      <c r="U39" s="14">
        <v>1.868964276896488</v>
      </c>
      <c r="V39" s="15">
        <v>1</v>
      </c>
      <c r="W39" s="16">
        <v>259215999.99999997</v>
      </c>
      <c r="X39" s="16">
        <v>-225249444.00000003</v>
      </c>
    </row>
    <row r="40" spans="1:24" x14ac:dyDescent="0.45">
      <c r="A40" s="3" t="s">
        <v>62</v>
      </c>
      <c r="B40" s="3" t="s">
        <v>81</v>
      </c>
      <c r="C40" s="3" t="s">
        <v>102</v>
      </c>
      <c r="D40" s="5">
        <v>484465444</v>
      </c>
      <c r="E40" s="6">
        <v>45965</v>
      </c>
      <c r="F40" s="7">
        <v>46695</v>
      </c>
      <c r="G40" s="7">
        <f t="shared" si="3"/>
        <v>46053</v>
      </c>
      <c r="H40" s="8">
        <v>24</v>
      </c>
      <c r="I40" s="8">
        <v>-21</v>
      </c>
      <c r="J40" s="9">
        <v>3</v>
      </c>
      <c r="K40" s="3">
        <v>25</v>
      </c>
      <c r="L40" s="17">
        <f t="shared" si="2"/>
        <v>1</v>
      </c>
      <c r="M40" s="17">
        <v>0.15</v>
      </c>
      <c r="N40" s="17">
        <v>0.15</v>
      </c>
      <c r="O40" s="37">
        <v>427660124</v>
      </c>
      <c r="P40" s="37">
        <v>427660124</v>
      </c>
      <c r="Q40" s="13">
        <v>72669816.599999994</v>
      </c>
      <c r="R40" s="13">
        <v>72669816.599999994</v>
      </c>
      <c r="S40" s="13">
        <v>-354990307.39999998</v>
      </c>
      <c r="T40" s="13">
        <v>0</v>
      </c>
      <c r="U40" s="14">
        <v>0.16992422842771282</v>
      </c>
      <c r="V40" s="15">
        <v>1</v>
      </c>
      <c r="W40" s="16">
        <v>2851067493.333334</v>
      </c>
      <c r="X40" s="16">
        <v>2366602049.333334</v>
      </c>
    </row>
    <row r="41" spans="1:24" x14ac:dyDescent="0.45">
      <c r="A41" s="3" t="s">
        <v>52</v>
      </c>
      <c r="B41" s="3" t="s">
        <v>85</v>
      </c>
      <c r="C41" s="3" t="s">
        <v>102</v>
      </c>
      <c r="D41" s="5">
        <v>1570080349</v>
      </c>
      <c r="E41" s="6">
        <v>45915</v>
      </c>
      <c r="F41" s="7">
        <v>46006</v>
      </c>
      <c r="G41" s="7">
        <f t="shared" si="3"/>
        <v>45930</v>
      </c>
      <c r="H41" s="8">
        <v>3</v>
      </c>
      <c r="I41" s="8">
        <v>-2</v>
      </c>
      <c r="J41" s="9">
        <v>1</v>
      </c>
      <c r="K41" s="3">
        <v>3</v>
      </c>
      <c r="L41" s="17">
        <f t="shared" si="2"/>
        <v>0.25</v>
      </c>
      <c r="M41" s="17">
        <v>0.25</v>
      </c>
      <c r="N41" s="17">
        <v>0.25</v>
      </c>
      <c r="O41" s="13">
        <v>414602230</v>
      </c>
      <c r="P41" s="13">
        <v>414602230</v>
      </c>
      <c r="Q41" s="13">
        <v>392520087.25</v>
      </c>
      <c r="R41" s="13">
        <v>392520087.25</v>
      </c>
      <c r="S41" s="13">
        <v>-22082142.75</v>
      </c>
      <c r="T41" s="13">
        <v>0</v>
      </c>
      <c r="U41" s="14">
        <v>0.94673896773300037</v>
      </c>
      <c r="V41" s="15">
        <v>1</v>
      </c>
      <c r="W41" s="16">
        <v>1658408920</v>
      </c>
      <c r="X41" s="16">
        <v>88328571</v>
      </c>
    </row>
    <row r="42" spans="1:24" x14ac:dyDescent="0.45">
      <c r="A42" s="3" t="s">
        <v>52</v>
      </c>
      <c r="B42" s="3" t="s">
        <v>85</v>
      </c>
      <c r="C42" s="3" t="s">
        <v>102</v>
      </c>
      <c r="D42" s="5">
        <v>1570080349</v>
      </c>
      <c r="E42" s="6">
        <v>45915</v>
      </c>
      <c r="F42" s="7">
        <v>46006</v>
      </c>
      <c r="G42" s="7">
        <f t="shared" si="3"/>
        <v>45961</v>
      </c>
      <c r="H42" s="8">
        <v>3</v>
      </c>
      <c r="I42" s="8">
        <v>-1</v>
      </c>
      <c r="J42" s="9">
        <v>2</v>
      </c>
      <c r="K42" s="3">
        <v>3</v>
      </c>
      <c r="L42" s="17">
        <f t="shared" si="2"/>
        <v>0.5</v>
      </c>
      <c r="M42" s="17">
        <v>0.5</v>
      </c>
      <c r="N42" s="17">
        <v>0.5</v>
      </c>
      <c r="O42" s="13">
        <v>385159373</v>
      </c>
      <c r="P42" s="13">
        <v>385159373</v>
      </c>
      <c r="Q42" s="13">
        <v>785040174.5</v>
      </c>
      <c r="R42" s="13">
        <v>785040174.5</v>
      </c>
      <c r="S42" s="13">
        <v>399880801.5</v>
      </c>
      <c r="T42" s="13">
        <v>0</v>
      </c>
      <c r="U42" s="14">
        <v>2.038221654546104</v>
      </c>
      <c r="V42" s="15">
        <v>1</v>
      </c>
      <c r="W42" s="16">
        <v>770318746</v>
      </c>
      <c r="X42" s="16">
        <v>-799761603</v>
      </c>
    </row>
    <row r="43" spans="1:24" x14ac:dyDescent="0.45">
      <c r="A43" s="3" t="s">
        <v>52</v>
      </c>
      <c r="B43" s="3" t="s">
        <v>85</v>
      </c>
      <c r="C43" s="3" t="s">
        <v>102</v>
      </c>
      <c r="D43" s="5">
        <v>1570080349</v>
      </c>
      <c r="E43" s="6">
        <v>45915</v>
      </c>
      <c r="F43" s="7">
        <v>46006</v>
      </c>
      <c r="G43" s="7">
        <f t="shared" si="3"/>
        <v>45991</v>
      </c>
      <c r="H43" s="8">
        <v>3</v>
      </c>
      <c r="I43" s="8">
        <v>0</v>
      </c>
      <c r="J43" s="9">
        <v>3</v>
      </c>
      <c r="K43" s="3">
        <v>3</v>
      </c>
      <c r="L43" s="17">
        <f t="shared" si="2"/>
        <v>0.75</v>
      </c>
      <c r="M43" s="17">
        <v>0.75</v>
      </c>
      <c r="N43" s="17">
        <v>0.75</v>
      </c>
      <c r="O43" s="13">
        <v>385159373</v>
      </c>
      <c r="P43" s="13">
        <v>385159373</v>
      </c>
      <c r="Q43" s="13">
        <v>1177560261.75</v>
      </c>
      <c r="R43" s="13">
        <v>1177560261.75</v>
      </c>
      <c r="S43" s="13">
        <v>792400888.75</v>
      </c>
      <c r="T43" s="13">
        <v>0</v>
      </c>
      <c r="U43" s="14">
        <v>3.0573324818191558</v>
      </c>
      <c r="V43" s="15">
        <v>1</v>
      </c>
      <c r="W43" s="16">
        <v>513545830.66666669</v>
      </c>
      <c r="X43" s="16">
        <v>-1056534518.3333333</v>
      </c>
    </row>
    <row r="44" spans="1:24" x14ac:dyDescent="0.45">
      <c r="A44" s="3" t="s">
        <v>52</v>
      </c>
      <c r="B44" s="3" t="s">
        <v>85</v>
      </c>
      <c r="C44" s="3" t="s">
        <v>102</v>
      </c>
      <c r="D44" s="5">
        <v>1570080349</v>
      </c>
      <c r="E44" s="6">
        <v>45915</v>
      </c>
      <c r="F44" s="7">
        <v>46006</v>
      </c>
      <c r="G44" s="7">
        <f t="shared" si="3"/>
        <v>46022</v>
      </c>
      <c r="H44" s="8">
        <v>3</v>
      </c>
      <c r="I44" s="8">
        <v>1</v>
      </c>
      <c r="J44" s="9">
        <v>4</v>
      </c>
      <c r="K44" s="3">
        <v>3</v>
      </c>
      <c r="L44" s="17">
        <f t="shared" si="2"/>
        <v>1</v>
      </c>
      <c r="M44" s="17">
        <v>1</v>
      </c>
      <c r="N44" s="17">
        <v>1</v>
      </c>
      <c r="O44" s="13">
        <v>385159373</v>
      </c>
      <c r="P44" s="13">
        <v>385159373</v>
      </c>
      <c r="Q44" s="13">
        <v>1570080349</v>
      </c>
      <c r="R44" s="13">
        <v>1570080349</v>
      </c>
      <c r="S44" s="13">
        <v>1184920976</v>
      </c>
      <c r="T44" s="13">
        <v>0</v>
      </c>
      <c r="U44" s="14">
        <v>4.0764433090922081</v>
      </c>
      <c r="V44" s="15">
        <v>1</v>
      </c>
      <c r="W44" s="16">
        <v>385159373</v>
      </c>
      <c r="X44" s="16">
        <v>-1184920976</v>
      </c>
    </row>
    <row r="45" spans="1:24" x14ac:dyDescent="0.45">
      <c r="A45" s="3" t="s">
        <v>29</v>
      </c>
      <c r="B45" s="3" t="s">
        <v>82</v>
      </c>
      <c r="C45" s="3" t="s">
        <v>102</v>
      </c>
      <c r="D45" s="5">
        <v>0</v>
      </c>
      <c r="E45" s="6">
        <v>45568</v>
      </c>
      <c r="F45" s="7">
        <v>46356</v>
      </c>
      <c r="G45" s="7">
        <f t="shared" ref="G45:G93" si="4">EOMONTH(E45,J45-1)</f>
        <v>45596</v>
      </c>
      <c r="H45" s="8">
        <v>25.9</v>
      </c>
      <c r="I45" s="8">
        <v>-24.9</v>
      </c>
      <c r="J45" s="9">
        <v>1</v>
      </c>
      <c r="K45" s="3">
        <v>26</v>
      </c>
      <c r="L45" s="17">
        <f t="shared" si="2"/>
        <v>6.25E-2</v>
      </c>
      <c r="M45" s="17">
        <v>0.05</v>
      </c>
      <c r="N45" s="17">
        <v>0.05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40">
        <v>1</v>
      </c>
      <c r="V45" s="15">
        <v>0</v>
      </c>
      <c r="W45" s="16">
        <v>0</v>
      </c>
      <c r="X45" s="16">
        <v>0</v>
      </c>
    </row>
    <row r="46" spans="1:24" x14ac:dyDescent="0.45">
      <c r="A46" s="3" t="s">
        <v>29</v>
      </c>
      <c r="B46" s="3" t="s">
        <v>82</v>
      </c>
      <c r="C46" s="3" t="s">
        <v>102</v>
      </c>
      <c r="D46" s="5">
        <v>0</v>
      </c>
      <c r="E46" s="6">
        <v>45568</v>
      </c>
      <c r="F46" s="7">
        <v>46356</v>
      </c>
      <c r="G46" s="7">
        <f t="shared" si="4"/>
        <v>45626</v>
      </c>
      <c r="H46" s="8">
        <v>25.9</v>
      </c>
      <c r="I46" s="8">
        <v>-23.9</v>
      </c>
      <c r="J46" s="9">
        <v>2</v>
      </c>
      <c r="K46" s="3">
        <v>26</v>
      </c>
      <c r="L46" s="17">
        <f t="shared" si="2"/>
        <v>0.125</v>
      </c>
      <c r="M46" s="17">
        <v>0.08</v>
      </c>
      <c r="N46" s="17">
        <v>0.08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40">
        <v>1</v>
      </c>
      <c r="V46" s="15">
        <v>0</v>
      </c>
      <c r="W46" s="16">
        <v>0</v>
      </c>
      <c r="X46" s="16">
        <v>0</v>
      </c>
    </row>
    <row r="47" spans="1:24" x14ac:dyDescent="0.45">
      <c r="A47" s="3" t="s">
        <v>29</v>
      </c>
      <c r="B47" s="3" t="s">
        <v>82</v>
      </c>
      <c r="C47" s="3" t="s">
        <v>102</v>
      </c>
      <c r="D47" s="5">
        <v>0</v>
      </c>
      <c r="E47" s="6">
        <v>45568</v>
      </c>
      <c r="F47" s="7">
        <v>46356</v>
      </c>
      <c r="G47" s="7">
        <f t="shared" si="4"/>
        <v>45657</v>
      </c>
      <c r="H47" s="8">
        <v>25.9</v>
      </c>
      <c r="I47" s="8">
        <v>-22.9</v>
      </c>
      <c r="J47" s="9">
        <v>3</v>
      </c>
      <c r="K47" s="3">
        <v>26</v>
      </c>
      <c r="L47" s="17">
        <f t="shared" si="2"/>
        <v>0.1875</v>
      </c>
      <c r="M47" s="17">
        <v>0.12</v>
      </c>
      <c r="N47" s="17">
        <v>0.12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40">
        <v>1</v>
      </c>
      <c r="V47" s="15">
        <v>0</v>
      </c>
      <c r="W47" s="16">
        <v>0</v>
      </c>
      <c r="X47" s="16">
        <v>0</v>
      </c>
    </row>
    <row r="48" spans="1:24" x14ac:dyDescent="0.45">
      <c r="A48" s="3" t="s">
        <v>29</v>
      </c>
      <c r="B48" s="3" t="s">
        <v>82</v>
      </c>
      <c r="C48" s="3" t="s">
        <v>102</v>
      </c>
      <c r="D48" s="5">
        <v>0</v>
      </c>
      <c r="E48" s="6">
        <v>45568</v>
      </c>
      <c r="F48" s="7">
        <v>46356</v>
      </c>
      <c r="G48" s="7">
        <f t="shared" si="4"/>
        <v>45688</v>
      </c>
      <c r="H48" s="8">
        <v>25.9</v>
      </c>
      <c r="I48" s="8">
        <v>-21.9</v>
      </c>
      <c r="J48" s="9">
        <v>4</v>
      </c>
      <c r="K48" s="3">
        <v>26</v>
      </c>
      <c r="L48" s="17">
        <f t="shared" si="2"/>
        <v>0.25</v>
      </c>
      <c r="M48" s="17">
        <v>0.15333333333333299</v>
      </c>
      <c r="N48" s="17">
        <v>0.15333333333333299</v>
      </c>
      <c r="O48" s="13">
        <v>211672212</v>
      </c>
      <c r="P48" s="13">
        <v>211672212</v>
      </c>
      <c r="Q48" s="13">
        <v>0</v>
      </c>
      <c r="R48" s="13">
        <v>0</v>
      </c>
      <c r="S48" s="13">
        <v>-211672212</v>
      </c>
      <c r="T48" s="13">
        <v>0</v>
      </c>
      <c r="U48" s="14">
        <v>0</v>
      </c>
      <c r="V48" s="15">
        <v>0</v>
      </c>
      <c r="W48" s="16">
        <v>0</v>
      </c>
      <c r="X48" s="16">
        <v>0</v>
      </c>
    </row>
    <row r="49" spans="1:24" x14ac:dyDescent="0.45">
      <c r="A49" s="3" t="s">
        <v>29</v>
      </c>
      <c r="B49" s="3" t="s">
        <v>82</v>
      </c>
      <c r="C49" s="3" t="s">
        <v>102</v>
      </c>
      <c r="D49" s="5">
        <v>0</v>
      </c>
      <c r="E49" s="6">
        <v>45568</v>
      </c>
      <c r="F49" s="7">
        <v>46356</v>
      </c>
      <c r="G49" s="7">
        <f t="shared" si="4"/>
        <v>45716</v>
      </c>
      <c r="H49" s="8">
        <v>25.9</v>
      </c>
      <c r="I49" s="8">
        <v>-20.9</v>
      </c>
      <c r="J49" s="9">
        <v>5</v>
      </c>
      <c r="K49" s="3">
        <v>26</v>
      </c>
      <c r="L49" s="17">
        <f t="shared" si="2"/>
        <v>0.3125</v>
      </c>
      <c r="M49" s="17">
        <v>0.18833333333333299</v>
      </c>
      <c r="N49" s="17">
        <v>0.18833333333333299</v>
      </c>
      <c r="O49" s="13">
        <v>11672212</v>
      </c>
      <c r="P49" s="13">
        <v>11672212</v>
      </c>
      <c r="Q49" s="13">
        <v>0</v>
      </c>
      <c r="R49" s="13">
        <v>0</v>
      </c>
      <c r="S49" s="13">
        <v>-11672212</v>
      </c>
      <c r="T49" s="13">
        <v>0</v>
      </c>
      <c r="U49" s="14">
        <v>0</v>
      </c>
      <c r="V49" s="15">
        <v>0</v>
      </c>
      <c r="W49" s="16">
        <v>0</v>
      </c>
      <c r="X49" s="16">
        <v>0</v>
      </c>
    </row>
    <row r="50" spans="1:24" x14ac:dyDescent="0.45">
      <c r="A50" s="3" t="s">
        <v>29</v>
      </c>
      <c r="B50" s="3" t="s">
        <v>82</v>
      </c>
      <c r="C50" s="3" t="s">
        <v>102</v>
      </c>
      <c r="D50" s="5">
        <v>0</v>
      </c>
      <c r="E50" s="6">
        <v>45568</v>
      </c>
      <c r="F50" s="7">
        <v>46356</v>
      </c>
      <c r="G50" s="7">
        <f t="shared" si="4"/>
        <v>45747</v>
      </c>
      <c r="H50" s="8">
        <v>25.9</v>
      </c>
      <c r="I50" s="8">
        <v>-19.899999999999999</v>
      </c>
      <c r="J50" s="9">
        <v>6</v>
      </c>
      <c r="K50" s="3">
        <v>26</v>
      </c>
      <c r="L50" s="17">
        <f t="shared" si="2"/>
        <v>0.375</v>
      </c>
      <c r="M50" s="17">
        <v>0.223333333333333</v>
      </c>
      <c r="N50" s="17">
        <v>0.223333333333333</v>
      </c>
      <c r="O50" s="13">
        <v>11672212</v>
      </c>
      <c r="P50" s="13">
        <v>11672212</v>
      </c>
      <c r="Q50" s="13">
        <v>0</v>
      </c>
      <c r="R50" s="13">
        <v>0</v>
      </c>
      <c r="S50" s="13">
        <v>-11672212</v>
      </c>
      <c r="T50" s="13">
        <v>0</v>
      </c>
      <c r="U50" s="14">
        <v>0</v>
      </c>
      <c r="V50" s="15">
        <v>0</v>
      </c>
      <c r="W50" s="16">
        <v>0</v>
      </c>
      <c r="X50" s="16">
        <v>0</v>
      </c>
    </row>
    <row r="51" spans="1:24" x14ac:dyDescent="0.45">
      <c r="A51" s="3" t="s">
        <v>29</v>
      </c>
      <c r="B51" s="3" t="s">
        <v>82</v>
      </c>
      <c r="C51" s="3" t="s">
        <v>102</v>
      </c>
      <c r="D51" s="5">
        <v>0</v>
      </c>
      <c r="E51" s="6">
        <v>45568</v>
      </c>
      <c r="F51" s="7">
        <v>46356</v>
      </c>
      <c r="G51" s="7">
        <f t="shared" si="4"/>
        <v>45777</v>
      </c>
      <c r="H51" s="8">
        <v>25.9</v>
      </c>
      <c r="I51" s="8">
        <v>-18.899999999999999</v>
      </c>
      <c r="J51" s="9">
        <v>7</v>
      </c>
      <c r="K51" s="3">
        <v>26</v>
      </c>
      <c r="L51" s="17">
        <f t="shared" si="2"/>
        <v>0.4375</v>
      </c>
      <c r="M51" s="17">
        <v>0.25833333333333303</v>
      </c>
      <c r="N51" s="17">
        <v>0.25833333333333303</v>
      </c>
      <c r="O51" s="13">
        <v>11672212</v>
      </c>
      <c r="P51" s="13">
        <v>11672212</v>
      </c>
      <c r="Q51" s="13">
        <v>0</v>
      </c>
      <c r="R51" s="13">
        <v>0</v>
      </c>
      <c r="S51" s="13">
        <v>-11672212</v>
      </c>
      <c r="T51" s="13">
        <v>0</v>
      </c>
      <c r="U51" s="14">
        <v>0</v>
      </c>
      <c r="V51" s="15">
        <v>0</v>
      </c>
      <c r="W51" s="16">
        <v>0</v>
      </c>
      <c r="X51" s="16">
        <v>0</v>
      </c>
    </row>
    <row r="52" spans="1:24" x14ac:dyDescent="0.45">
      <c r="A52" s="3" t="s">
        <v>29</v>
      </c>
      <c r="B52" s="3" t="s">
        <v>82</v>
      </c>
      <c r="C52" s="3" t="s">
        <v>102</v>
      </c>
      <c r="D52" s="5">
        <v>0</v>
      </c>
      <c r="E52" s="6">
        <v>45568</v>
      </c>
      <c r="F52" s="7">
        <v>46356</v>
      </c>
      <c r="G52" s="7">
        <f t="shared" si="4"/>
        <v>45808</v>
      </c>
      <c r="H52" s="8">
        <v>25.9</v>
      </c>
      <c r="I52" s="8">
        <v>-17.899999999999999</v>
      </c>
      <c r="J52" s="9">
        <v>8</v>
      </c>
      <c r="K52" s="3">
        <v>26</v>
      </c>
      <c r="L52" s="17">
        <f t="shared" si="2"/>
        <v>0.5</v>
      </c>
      <c r="M52" s="17">
        <v>0.293333333333333</v>
      </c>
      <c r="N52" s="17">
        <v>0.293333333333333</v>
      </c>
      <c r="O52" s="13">
        <v>11672212</v>
      </c>
      <c r="P52" s="13">
        <v>11672212</v>
      </c>
      <c r="Q52" s="13">
        <v>0</v>
      </c>
      <c r="R52" s="13">
        <v>0</v>
      </c>
      <c r="S52" s="13">
        <v>-11672212</v>
      </c>
      <c r="T52" s="13">
        <v>0</v>
      </c>
      <c r="U52" s="14">
        <v>0</v>
      </c>
      <c r="V52" s="15">
        <v>0</v>
      </c>
      <c r="W52" s="16">
        <v>0</v>
      </c>
      <c r="X52" s="16">
        <v>0</v>
      </c>
    </row>
    <row r="53" spans="1:24" x14ac:dyDescent="0.45">
      <c r="A53" s="3" t="s">
        <v>29</v>
      </c>
      <c r="B53" s="3" t="s">
        <v>82</v>
      </c>
      <c r="C53" s="3" t="s">
        <v>102</v>
      </c>
      <c r="D53" s="5">
        <v>0</v>
      </c>
      <c r="E53" s="6">
        <v>45568</v>
      </c>
      <c r="F53" s="7">
        <v>46356</v>
      </c>
      <c r="G53" s="7">
        <f t="shared" si="4"/>
        <v>45838</v>
      </c>
      <c r="H53" s="8">
        <v>25.9</v>
      </c>
      <c r="I53" s="8">
        <v>-16.899999999999999</v>
      </c>
      <c r="J53" s="9">
        <v>9</v>
      </c>
      <c r="K53" s="3">
        <v>26</v>
      </c>
      <c r="L53" s="17">
        <f t="shared" si="2"/>
        <v>0.5625</v>
      </c>
      <c r="M53" s="17">
        <v>0.32833333333333298</v>
      </c>
      <c r="N53" s="17">
        <v>0.32833333333333298</v>
      </c>
      <c r="O53" s="13">
        <v>811672212</v>
      </c>
      <c r="P53" s="13">
        <v>811672212</v>
      </c>
      <c r="Q53" s="13">
        <v>0</v>
      </c>
      <c r="R53" s="13">
        <v>0</v>
      </c>
      <c r="S53" s="13">
        <v>-811672212</v>
      </c>
      <c r="T53" s="13">
        <v>0</v>
      </c>
      <c r="U53" s="14">
        <v>0</v>
      </c>
      <c r="V53" s="15">
        <v>0</v>
      </c>
      <c r="W53" s="16">
        <v>0</v>
      </c>
      <c r="X53" s="16">
        <v>0</v>
      </c>
    </row>
    <row r="54" spans="1:24" x14ac:dyDescent="0.45">
      <c r="A54" s="3" t="s">
        <v>29</v>
      </c>
      <c r="B54" s="3" t="s">
        <v>82</v>
      </c>
      <c r="C54" s="3" t="s">
        <v>102</v>
      </c>
      <c r="D54" s="5">
        <v>0</v>
      </c>
      <c r="E54" s="6">
        <v>45568</v>
      </c>
      <c r="F54" s="7">
        <v>46356</v>
      </c>
      <c r="G54" s="7">
        <f t="shared" si="4"/>
        <v>45869</v>
      </c>
      <c r="H54" s="8">
        <v>25.9</v>
      </c>
      <c r="I54" s="8">
        <v>-15.899999999999999</v>
      </c>
      <c r="J54" s="9">
        <v>10</v>
      </c>
      <c r="K54" s="3">
        <v>26</v>
      </c>
      <c r="L54" s="17">
        <f t="shared" si="2"/>
        <v>0.625</v>
      </c>
      <c r="M54" s="17">
        <v>0.36333333333333301</v>
      </c>
      <c r="N54" s="17">
        <v>0.36333333333333301</v>
      </c>
      <c r="O54" s="13">
        <v>11672212</v>
      </c>
      <c r="P54" s="13">
        <v>11672212</v>
      </c>
      <c r="Q54" s="13">
        <v>0</v>
      </c>
      <c r="R54" s="13">
        <v>0</v>
      </c>
      <c r="S54" s="13">
        <v>-11672212</v>
      </c>
      <c r="T54" s="13">
        <v>0</v>
      </c>
      <c r="U54" s="14">
        <v>0</v>
      </c>
      <c r="V54" s="15">
        <v>0</v>
      </c>
      <c r="W54" s="16">
        <v>0</v>
      </c>
      <c r="X54" s="16">
        <v>0</v>
      </c>
    </row>
    <row r="55" spans="1:24" x14ac:dyDescent="0.45">
      <c r="A55" s="3" t="s">
        <v>29</v>
      </c>
      <c r="B55" s="3" t="s">
        <v>82</v>
      </c>
      <c r="C55" s="3" t="s">
        <v>102</v>
      </c>
      <c r="D55" s="5">
        <v>0</v>
      </c>
      <c r="E55" s="6">
        <v>45568</v>
      </c>
      <c r="F55" s="7">
        <v>46356</v>
      </c>
      <c r="G55" s="7">
        <f t="shared" si="4"/>
        <v>45900</v>
      </c>
      <c r="H55" s="8">
        <v>25.9</v>
      </c>
      <c r="I55" s="8">
        <v>-14.899999999999999</v>
      </c>
      <c r="J55" s="9">
        <v>11</v>
      </c>
      <c r="K55" s="3">
        <v>26</v>
      </c>
      <c r="L55" s="17">
        <f t="shared" si="2"/>
        <v>0.6875</v>
      </c>
      <c r="M55" s="17">
        <v>0.39833333333333298</v>
      </c>
      <c r="N55" s="17">
        <v>0.39833333333333298</v>
      </c>
      <c r="O55" s="13">
        <v>11672212</v>
      </c>
      <c r="P55" s="13">
        <v>11672212</v>
      </c>
      <c r="Q55" s="13">
        <v>0</v>
      </c>
      <c r="R55" s="13">
        <v>0</v>
      </c>
      <c r="S55" s="13">
        <v>-11672212</v>
      </c>
      <c r="T55" s="13">
        <v>0</v>
      </c>
      <c r="U55" s="14">
        <v>0</v>
      </c>
      <c r="V55" s="15">
        <v>0</v>
      </c>
      <c r="W55" s="16">
        <v>0</v>
      </c>
      <c r="X55" s="16">
        <v>0</v>
      </c>
    </row>
    <row r="56" spans="1:24" x14ac:dyDescent="0.45">
      <c r="A56" s="3" t="s">
        <v>29</v>
      </c>
      <c r="B56" s="3" t="s">
        <v>82</v>
      </c>
      <c r="C56" s="3" t="s">
        <v>102</v>
      </c>
      <c r="D56" s="5">
        <v>0</v>
      </c>
      <c r="E56" s="6">
        <v>45568</v>
      </c>
      <c r="F56" s="7">
        <v>46356</v>
      </c>
      <c r="G56" s="7">
        <f t="shared" si="4"/>
        <v>45930</v>
      </c>
      <c r="H56" s="8">
        <v>25.9</v>
      </c>
      <c r="I56" s="8">
        <v>-13.899999999999999</v>
      </c>
      <c r="J56" s="9">
        <v>12</v>
      </c>
      <c r="K56" s="3">
        <v>26</v>
      </c>
      <c r="L56" s="17">
        <f t="shared" si="2"/>
        <v>0.75</v>
      </c>
      <c r="M56" s="17">
        <v>0.43333333333333302</v>
      </c>
      <c r="N56" s="17">
        <v>0.43333333333333302</v>
      </c>
      <c r="O56" s="13">
        <v>11672212</v>
      </c>
      <c r="P56" s="13">
        <v>11672212</v>
      </c>
      <c r="Q56" s="13">
        <v>0</v>
      </c>
      <c r="R56" s="13">
        <v>0</v>
      </c>
      <c r="S56" s="13">
        <v>-11672212</v>
      </c>
      <c r="T56" s="13">
        <v>0</v>
      </c>
      <c r="U56" s="14">
        <v>0</v>
      </c>
      <c r="V56" s="15">
        <v>0</v>
      </c>
      <c r="W56" s="16">
        <v>0</v>
      </c>
      <c r="X56" s="16">
        <v>0</v>
      </c>
    </row>
    <row r="57" spans="1:24" x14ac:dyDescent="0.45">
      <c r="A57" s="3" t="s">
        <v>29</v>
      </c>
      <c r="B57" s="3" t="s">
        <v>82</v>
      </c>
      <c r="C57" s="3" t="s">
        <v>102</v>
      </c>
      <c r="D57" s="5">
        <v>0</v>
      </c>
      <c r="E57" s="6">
        <v>45568</v>
      </c>
      <c r="F57" s="7">
        <v>46356</v>
      </c>
      <c r="G57" s="7">
        <f t="shared" si="4"/>
        <v>45961</v>
      </c>
      <c r="H57" s="8">
        <v>25.9</v>
      </c>
      <c r="I57" s="8">
        <v>-12.899999999999999</v>
      </c>
      <c r="J57" s="9">
        <v>13</v>
      </c>
      <c r="K57" s="3">
        <v>26</v>
      </c>
      <c r="L57" s="17">
        <f t="shared" si="2"/>
        <v>0.8125</v>
      </c>
      <c r="M57" s="17">
        <v>0.46833333333333299</v>
      </c>
      <c r="N57" s="17">
        <v>0.46833333333333299</v>
      </c>
      <c r="O57" s="13">
        <v>11672212</v>
      </c>
      <c r="P57" s="13">
        <v>11672212</v>
      </c>
      <c r="Q57" s="13">
        <v>0</v>
      </c>
      <c r="R57" s="13">
        <v>0</v>
      </c>
      <c r="S57" s="13">
        <v>-11672212</v>
      </c>
      <c r="T57" s="13">
        <v>0</v>
      </c>
      <c r="U57" s="14">
        <v>0</v>
      </c>
      <c r="V57" s="15">
        <v>0</v>
      </c>
      <c r="W57" s="16">
        <v>0</v>
      </c>
      <c r="X57" s="16">
        <v>0</v>
      </c>
    </row>
    <row r="58" spans="1:24" x14ac:dyDescent="0.45">
      <c r="A58" s="3" t="s">
        <v>29</v>
      </c>
      <c r="B58" s="3" t="s">
        <v>82</v>
      </c>
      <c r="C58" s="3" t="s">
        <v>102</v>
      </c>
      <c r="D58" s="5">
        <v>0</v>
      </c>
      <c r="E58" s="6">
        <v>45568</v>
      </c>
      <c r="F58" s="7">
        <v>46356</v>
      </c>
      <c r="G58" s="7">
        <f t="shared" si="4"/>
        <v>45991</v>
      </c>
      <c r="H58" s="8">
        <v>25.9</v>
      </c>
      <c r="I58" s="8">
        <v>-11.899999999999999</v>
      </c>
      <c r="J58" s="9">
        <v>14</v>
      </c>
      <c r="K58" s="3">
        <v>26</v>
      </c>
      <c r="L58" s="17">
        <f t="shared" si="2"/>
        <v>0.875</v>
      </c>
      <c r="M58" s="17">
        <v>0.50333333333333297</v>
      </c>
      <c r="N58" s="17">
        <v>0.50333333333333297</v>
      </c>
      <c r="O58" s="13">
        <v>611672212</v>
      </c>
      <c r="P58" s="13">
        <v>611672212</v>
      </c>
      <c r="Q58" s="13">
        <v>0</v>
      </c>
      <c r="R58" s="13">
        <v>0</v>
      </c>
      <c r="S58" s="13">
        <v>-611672212</v>
      </c>
      <c r="T58" s="13">
        <v>0</v>
      </c>
      <c r="U58" s="14">
        <v>0</v>
      </c>
      <c r="V58" s="15">
        <v>0</v>
      </c>
      <c r="W58" s="16">
        <v>0</v>
      </c>
      <c r="X58" s="16">
        <v>0</v>
      </c>
    </row>
    <row r="59" spans="1:24" x14ac:dyDescent="0.45">
      <c r="A59" s="3" t="s">
        <v>29</v>
      </c>
      <c r="B59" s="3" t="s">
        <v>82</v>
      </c>
      <c r="C59" s="3" t="s">
        <v>102</v>
      </c>
      <c r="D59" s="5">
        <v>0</v>
      </c>
      <c r="E59" s="6">
        <v>45568</v>
      </c>
      <c r="F59" s="7">
        <v>46356</v>
      </c>
      <c r="G59" s="7">
        <f t="shared" si="4"/>
        <v>46022</v>
      </c>
      <c r="H59" s="8">
        <v>25.9</v>
      </c>
      <c r="I59" s="8">
        <v>-10.899999999999999</v>
      </c>
      <c r="J59" s="9">
        <v>15</v>
      </c>
      <c r="K59" s="3">
        <v>26</v>
      </c>
      <c r="L59" s="17">
        <f t="shared" si="2"/>
        <v>0.9375</v>
      </c>
      <c r="M59" s="17">
        <v>0.538333333333333</v>
      </c>
      <c r="N59" s="17">
        <v>0.538333333333333</v>
      </c>
      <c r="O59" s="13">
        <v>11672212</v>
      </c>
      <c r="P59" s="13">
        <v>11672212</v>
      </c>
      <c r="Q59" s="13">
        <v>0</v>
      </c>
      <c r="R59" s="13">
        <v>0</v>
      </c>
      <c r="S59" s="13">
        <v>-11672212</v>
      </c>
      <c r="T59" s="13">
        <v>0</v>
      </c>
      <c r="U59" s="14">
        <v>0</v>
      </c>
      <c r="V59" s="15">
        <v>0</v>
      </c>
      <c r="W59" s="16">
        <v>0</v>
      </c>
      <c r="X59" s="16">
        <v>0</v>
      </c>
    </row>
    <row r="60" spans="1:24" x14ac:dyDescent="0.45">
      <c r="A60" s="3" t="s">
        <v>29</v>
      </c>
      <c r="B60" s="3" t="s">
        <v>82</v>
      </c>
      <c r="C60" s="3" t="s">
        <v>102</v>
      </c>
      <c r="D60" s="5">
        <v>0</v>
      </c>
      <c r="E60" s="6">
        <v>45568</v>
      </c>
      <c r="F60" s="7">
        <v>46356</v>
      </c>
      <c r="G60" s="7">
        <f t="shared" si="4"/>
        <v>46053</v>
      </c>
      <c r="H60" s="8">
        <v>25.9</v>
      </c>
      <c r="I60" s="8">
        <v>-9.8999999999999986</v>
      </c>
      <c r="J60" s="9">
        <v>16</v>
      </c>
      <c r="K60" s="3">
        <v>26</v>
      </c>
      <c r="L60" s="17">
        <f t="shared" si="2"/>
        <v>1</v>
      </c>
      <c r="M60" s="17">
        <v>0.6</v>
      </c>
      <c r="N60" s="17">
        <v>0.6</v>
      </c>
      <c r="O60" s="13">
        <v>11672212</v>
      </c>
      <c r="P60" s="13">
        <v>11672212</v>
      </c>
      <c r="Q60" s="13">
        <v>0</v>
      </c>
      <c r="R60" s="13">
        <v>0</v>
      </c>
      <c r="S60" s="13">
        <v>-11672212</v>
      </c>
      <c r="T60" s="13">
        <v>0</v>
      </c>
      <c r="U60" s="14">
        <v>0</v>
      </c>
      <c r="V60" s="15">
        <v>0</v>
      </c>
      <c r="W60" s="16">
        <v>0</v>
      </c>
      <c r="X60" s="16">
        <v>0</v>
      </c>
    </row>
    <row r="61" spans="1:24" x14ac:dyDescent="0.45">
      <c r="A61" s="35" t="s">
        <v>5</v>
      </c>
      <c r="B61" s="35" t="s">
        <v>77</v>
      </c>
      <c r="C61" s="35" t="s">
        <v>103</v>
      </c>
      <c r="D61" s="5">
        <v>3323223361</v>
      </c>
      <c r="E61" s="6">
        <v>45300</v>
      </c>
      <c r="F61" s="7">
        <v>45473</v>
      </c>
      <c r="G61" s="7">
        <f t="shared" si="4"/>
        <v>45322</v>
      </c>
      <c r="H61" s="8">
        <v>5.7</v>
      </c>
      <c r="I61" s="8">
        <v>-4.7</v>
      </c>
      <c r="J61" s="9">
        <v>1</v>
      </c>
      <c r="K61" s="3">
        <v>6</v>
      </c>
      <c r="L61" s="17">
        <f t="shared" si="2"/>
        <v>3.8461538461538464E-2</v>
      </c>
      <c r="M61" s="17">
        <v>0.2</v>
      </c>
      <c r="N61" s="17">
        <v>0.2</v>
      </c>
      <c r="O61" s="38"/>
      <c r="P61" s="39"/>
      <c r="Q61" s="13">
        <v>664644672.20000005</v>
      </c>
      <c r="R61" s="13">
        <v>664644672.20000005</v>
      </c>
      <c r="S61" s="13">
        <v>664644672.20000005</v>
      </c>
      <c r="T61" s="13">
        <v>0</v>
      </c>
      <c r="U61" s="40">
        <v>1</v>
      </c>
      <c r="V61" s="15">
        <v>1</v>
      </c>
      <c r="W61" s="16">
        <v>0</v>
      </c>
      <c r="X61" s="16">
        <v>-3323223361</v>
      </c>
    </row>
    <row r="62" spans="1:24" x14ac:dyDescent="0.45">
      <c r="A62" s="35" t="s">
        <v>5</v>
      </c>
      <c r="B62" s="35" t="s">
        <v>77</v>
      </c>
      <c r="C62" s="35" t="s">
        <v>103</v>
      </c>
      <c r="D62" s="5">
        <v>3323223361</v>
      </c>
      <c r="E62" s="6">
        <v>45300</v>
      </c>
      <c r="F62" s="7">
        <v>45473</v>
      </c>
      <c r="G62" s="7">
        <f t="shared" si="4"/>
        <v>45351</v>
      </c>
      <c r="H62" s="8">
        <v>5.7</v>
      </c>
      <c r="I62" s="8">
        <v>-3.7</v>
      </c>
      <c r="J62" s="9">
        <v>2</v>
      </c>
      <c r="K62" s="3">
        <v>6</v>
      </c>
      <c r="L62" s="17">
        <f t="shared" si="2"/>
        <v>7.6923076923076927E-2</v>
      </c>
      <c r="M62" s="17">
        <v>0.3</v>
      </c>
      <c r="N62" s="17">
        <v>0.3</v>
      </c>
      <c r="O62" s="38"/>
      <c r="P62" s="39"/>
      <c r="Q62" s="13">
        <v>996967008.29999995</v>
      </c>
      <c r="R62" s="13">
        <v>996967008.29999995</v>
      </c>
      <c r="S62" s="13">
        <v>996967008.29999995</v>
      </c>
      <c r="T62" s="13">
        <v>0</v>
      </c>
      <c r="U62" s="40">
        <v>1</v>
      </c>
      <c r="V62" s="15">
        <v>1</v>
      </c>
      <c r="W62" s="16">
        <v>0</v>
      </c>
      <c r="X62" s="16">
        <v>-3323223361</v>
      </c>
    </row>
    <row r="63" spans="1:24" x14ac:dyDescent="0.45">
      <c r="A63" s="35" t="s">
        <v>5</v>
      </c>
      <c r="B63" s="35" t="s">
        <v>77</v>
      </c>
      <c r="C63" s="35" t="s">
        <v>103</v>
      </c>
      <c r="D63" s="5">
        <v>3323223361</v>
      </c>
      <c r="E63" s="6">
        <v>45300</v>
      </c>
      <c r="F63" s="7">
        <v>45473</v>
      </c>
      <c r="G63" s="7">
        <f t="shared" si="4"/>
        <v>45382</v>
      </c>
      <c r="H63" s="8">
        <v>5.7</v>
      </c>
      <c r="I63" s="8">
        <v>20.3</v>
      </c>
      <c r="J63" s="9">
        <v>3</v>
      </c>
      <c r="K63" s="3">
        <v>6</v>
      </c>
      <c r="L63" s="17">
        <f t="shared" si="2"/>
        <v>0.11538461538461539</v>
      </c>
      <c r="M63" s="17">
        <v>0.5</v>
      </c>
      <c r="N63" s="17">
        <v>0.4</v>
      </c>
      <c r="O63" s="38"/>
      <c r="P63" s="39"/>
      <c r="Q63" s="13">
        <v>1329289344.4000001</v>
      </c>
      <c r="R63" s="13">
        <v>1661611680.5</v>
      </c>
      <c r="S63" s="13">
        <v>1329289344.4000001</v>
      </c>
      <c r="T63" s="13">
        <v>-332322336.0999999</v>
      </c>
      <c r="U63" s="40">
        <v>1</v>
      </c>
      <c r="V63" s="15">
        <v>0.8</v>
      </c>
      <c r="W63" s="16">
        <v>0</v>
      </c>
      <c r="X63" s="16">
        <v>-3323223361</v>
      </c>
    </row>
    <row r="64" spans="1:24" x14ac:dyDescent="0.45">
      <c r="A64" s="35" t="s">
        <v>5</v>
      </c>
      <c r="B64" s="35" t="s">
        <v>77</v>
      </c>
      <c r="C64" s="35" t="s">
        <v>103</v>
      </c>
      <c r="D64" s="5">
        <v>3323223361</v>
      </c>
      <c r="E64" s="6">
        <v>45300</v>
      </c>
      <c r="F64" s="7">
        <v>45473</v>
      </c>
      <c r="G64" s="7">
        <f t="shared" si="4"/>
        <v>45412</v>
      </c>
      <c r="H64" s="8">
        <v>5.7</v>
      </c>
      <c r="I64" s="8">
        <v>20.3</v>
      </c>
      <c r="J64" s="9">
        <v>4</v>
      </c>
      <c r="K64" s="3">
        <v>6</v>
      </c>
      <c r="L64" s="17">
        <f t="shared" si="2"/>
        <v>0.15384615384615385</v>
      </c>
      <c r="M64" s="17">
        <v>0.75</v>
      </c>
      <c r="N64" s="17">
        <v>0.42000000000000004</v>
      </c>
      <c r="O64" s="38"/>
      <c r="P64" s="39"/>
      <c r="Q64" s="13">
        <v>1395753811.6200001</v>
      </c>
      <c r="R64" s="13">
        <v>2492417520.75</v>
      </c>
      <c r="S64" s="13">
        <v>1395753811.6200001</v>
      </c>
      <c r="T64" s="13">
        <v>-1096663709.1299999</v>
      </c>
      <c r="U64" s="40">
        <v>1</v>
      </c>
      <c r="V64" s="15">
        <v>0.56000000000000005</v>
      </c>
      <c r="W64" s="16">
        <v>0</v>
      </c>
      <c r="X64" s="16">
        <v>-3323223361</v>
      </c>
    </row>
    <row r="65" spans="1:24" x14ac:dyDescent="0.45">
      <c r="A65" s="35" t="s">
        <v>5</v>
      </c>
      <c r="B65" s="35" t="s">
        <v>77</v>
      </c>
      <c r="C65" s="35" t="s">
        <v>103</v>
      </c>
      <c r="D65" s="5">
        <v>3323223361</v>
      </c>
      <c r="E65" s="6">
        <v>45300</v>
      </c>
      <c r="F65" s="7">
        <v>45473</v>
      </c>
      <c r="G65" s="7">
        <f t="shared" si="4"/>
        <v>45443</v>
      </c>
      <c r="H65" s="8">
        <v>5.7</v>
      </c>
      <c r="I65" s="8">
        <v>20.3</v>
      </c>
      <c r="J65" s="9">
        <v>5</v>
      </c>
      <c r="K65" s="3">
        <v>6</v>
      </c>
      <c r="L65" s="17">
        <f t="shared" si="2"/>
        <v>0.19230769230769232</v>
      </c>
      <c r="M65" s="17">
        <v>0.8</v>
      </c>
      <c r="N65" s="17">
        <v>0.44000000000000006</v>
      </c>
      <c r="O65" s="38"/>
      <c r="P65" s="39"/>
      <c r="Q65" s="13">
        <v>1462218278.8400002</v>
      </c>
      <c r="R65" s="13">
        <v>2658578688.8000002</v>
      </c>
      <c r="S65" s="13">
        <v>1462218278.8400002</v>
      </c>
      <c r="T65" s="13">
        <v>-1196360409.96</v>
      </c>
      <c r="U65" s="40">
        <v>1</v>
      </c>
      <c r="V65" s="15">
        <v>0.55000000000000004</v>
      </c>
      <c r="W65" s="16">
        <v>0</v>
      </c>
      <c r="X65" s="16">
        <v>-3323223361</v>
      </c>
    </row>
    <row r="66" spans="1:24" x14ac:dyDescent="0.45">
      <c r="A66" s="35" t="s">
        <v>5</v>
      </c>
      <c r="B66" s="35" t="s">
        <v>77</v>
      </c>
      <c r="C66" s="35" t="s">
        <v>103</v>
      </c>
      <c r="D66" s="5">
        <v>3323223361</v>
      </c>
      <c r="E66" s="6">
        <v>45300</v>
      </c>
      <c r="F66" s="7">
        <v>45473</v>
      </c>
      <c r="G66" s="7">
        <f t="shared" si="4"/>
        <v>45473</v>
      </c>
      <c r="H66" s="8">
        <v>5.7</v>
      </c>
      <c r="I66" s="8">
        <v>20.3</v>
      </c>
      <c r="J66" s="9">
        <v>6</v>
      </c>
      <c r="K66" s="3">
        <v>6</v>
      </c>
      <c r="L66" s="17">
        <f t="shared" si="2"/>
        <v>0.23076923076923078</v>
      </c>
      <c r="M66" s="17">
        <v>1</v>
      </c>
      <c r="N66" s="17">
        <v>0.46000000000000008</v>
      </c>
      <c r="O66" s="38"/>
      <c r="P66" s="39"/>
      <c r="Q66" s="13">
        <v>1528682746.0600002</v>
      </c>
      <c r="R66" s="13">
        <v>3323223361</v>
      </c>
      <c r="S66" s="13">
        <v>1528682746.0600002</v>
      </c>
      <c r="T66" s="13">
        <v>-1794540614.9399998</v>
      </c>
      <c r="U66" s="40">
        <v>1</v>
      </c>
      <c r="V66" s="15">
        <v>0.46000000000000008</v>
      </c>
      <c r="W66" s="16">
        <v>0</v>
      </c>
      <c r="X66" s="16">
        <v>-3323223361</v>
      </c>
    </row>
    <row r="67" spans="1:24" x14ac:dyDescent="0.45">
      <c r="A67" s="35" t="s">
        <v>5</v>
      </c>
      <c r="B67" s="35" t="s">
        <v>77</v>
      </c>
      <c r="C67" s="35" t="s">
        <v>103</v>
      </c>
      <c r="D67" s="5">
        <v>3323223361</v>
      </c>
      <c r="E67" s="6">
        <v>45300</v>
      </c>
      <c r="F67" s="7">
        <v>45473</v>
      </c>
      <c r="G67" s="7">
        <f t="shared" si="4"/>
        <v>45504</v>
      </c>
      <c r="H67" s="8">
        <v>5.7</v>
      </c>
      <c r="I67" s="8">
        <v>20.3</v>
      </c>
      <c r="J67" s="9">
        <v>7</v>
      </c>
      <c r="K67" s="3">
        <v>6</v>
      </c>
      <c r="L67" s="17">
        <f t="shared" ref="L67:L130" si="5">J67/_xlfn.MAXIFS(J67:J464,A67:A464,A67)</f>
        <v>0.26923076923076922</v>
      </c>
      <c r="M67" s="17">
        <v>1</v>
      </c>
      <c r="N67" s="17">
        <v>0.48000000000000009</v>
      </c>
      <c r="O67" s="38"/>
      <c r="P67" s="39"/>
      <c r="Q67" s="13">
        <v>1595147213.2800002</v>
      </c>
      <c r="R67" s="13">
        <v>3323223361</v>
      </c>
      <c r="S67" s="13">
        <v>1595147213.2800002</v>
      </c>
      <c r="T67" s="13">
        <v>-1728076147.7199998</v>
      </c>
      <c r="U67" s="40">
        <v>1</v>
      </c>
      <c r="V67" s="15">
        <v>0.48000000000000004</v>
      </c>
      <c r="W67" s="16">
        <v>0</v>
      </c>
      <c r="X67" s="16">
        <v>-3323223361</v>
      </c>
    </row>
    <row r="68" spans="1:24" x14ac:dyDescent="0.45">
      <c r="A68" s="35" t="s">
        <v>5</v>
      </c>
      <c r="B68" s="35" t="s">
        <v>77</v>
      </c>
      <c r="C68" s="35" t="s">
        <v>103</v>
      </c>
      <c r="D68" s="5">
        <v>3323223361</v>
      </c>
      <c r="E68" s="6">
        <v>45300</v>
      </c>
      <c r="F68" s="7">
        <v>45473</v>
      </c>
      <c r="G68" s="7">
        <f t="shared" si="4"/>
        <v>45535</v>
      </c>
      <c r="H68" s="8">
        <v>5.7</v>
      </c>
      <c r="I68" s="8">
        <v>20.3</v>
      </c>
      <c r="J68" s="9">
        <v>8</v>
      </c>
      <c r="K68" s="3">
        <v>6</v>
      </c>
      <c r="L68" s="17">
        <f t="shared" si="5"/>
        <v>0.30769230769230771</v>
      </c>
      <c r="M68" s="17">
        <v>1</v>
      </c>
      <c r="N68" s="17">
        <v>0.50000000000000011</v>
      </c>
      <c r="O68" s="38"/>
      <c r="P68" s="39"/>
      <c r="Q68" s="13">
        <v>1661611680.5000005</v>
      </c>
      <c r="R68" s="13">
        <v>3323223361</v>
      </c>
      <c r="S68" s="13">
        <v>1661611680.5000005</v>
      </c>
      <c r="T68" s="13">
        <v>-1661611680.4999995</v>
      </c>
      <c r="U68" s="40">
        <v>1</v>
      </c>
      <c r="V68" s="15">
        <v>0.50000000000000011</v>
      </c>
      <c r="W68" s="16">
        <v>0</v>
      </c>
      <c r="X68" s="16">
        <v>-3323223361</v>
      </c>
    </row>
    <row r="69" spans="1:24" x14ac:dyDescent="0.45">
      <c r="A69" s="35" t="s">
        <v>5</v>
      </c>
      <c r="B69" s="35" t="s">
        <v>77</v>
      </c>
      <c r="C69" s="35" t="s">
        <v>103</v>
      </c>
      <c r="D69" s="5">
        <v>3323223361</v>
      </c>
      <c r="E69" s="6">
        <v>45300</v>
      </c>
      <c r="F69" s="7">
        <v>45473</v>
      </c>
      <c r="G69" s="7">
        <f t="shared" si="4"/>
        <v>45565</v>
      </c>
      <c r="H69" s="8">
        <v>5.7</v>
      </c>
      <c r="I69" s="8">
        <v>20.3</v>
      </c>
      <c r="J69" s="9">
        <v>9</v>
      </c>
      <c r="K69" s="3">
        <v>6</v>
      </c>
      <c r="L69" s="17">
        <f t="shared" si="5"/>
        <v>0.34615384615384615</v>
      </c>
      <c r="M69" s="17">
        <v>1</v>
      </c>
      <c r="N69" s="17">
        <v>0.52000000000000013</v>
      </c>
      <c r="O69" s="38"/>
      <c r="P69" s="39"/>
      <c r="Q69" s="13">
        <v>1728076147.7200005</v>
      </c>
      <c r="R69" s="13">
        <v>3323223361</v>
      </c>
      <c r="S69" s="13">
        <v>1728076147.7200005</v>
      </c>
      <c r="T69" s="13">
        <v>-1595147213.2799995</v>
      </c>
      <c r="U69" s="40">
        <v>1</v>
      </c>
      <c r="V69" s="15">
        <v>0.52000000000000013</v>
      </c>
      <c r="W69" s="16">
        <v>0</v>
      </c>
      <c r="X69" s="16">
        <v>-3323223361</v>
      </c>
    </row>
    <row r="70" spans="1:24" x14ac:dyDescent="0.45">
      <c r="A70" s="35" t="s">
        <v>5</v>
      </c>
      <c r="B70" s="35" t="s">
        <v>77</v>
      </c>
      <c r="C70" s="35" t="s">
        <v>103</v>
      </c>
      <c r="D70" s="5">
        <v>3323223361</v>
      </c>
      <c r="E70" s="6">
        <v>45300</v>
      </c>
      <c r="F70" s="7">
        <v>45473</v>
      </c>
      <c r="G70" s="7">
        <f t="shared" si="4"/>
        <v>45596</v>
      </c>
      <c r="H70" s="8">
        <v>5.7</v>
      </c>
      <c r="I70" s="8">
        <v>20.3</v>
      </c>
      <c r="J70" s="9">
        <v>10</v>
      </c>
      <c r="K70" s="3">
        <v>6</v>
      </c>
      <c r="L70" s="17">
        <f t="shared" si="5"/>
        <v>0.38461538461538464</v>
      </c>
      <c r="M70" s="17">
        <v>1</v>
      </c>
      <c r="N70" s="17">
        <v>0.54000000000000015</v>
      </c>
      <c r="O70" s="38"/>
      <c r="P70" s="39"/>
      <c r="Q70" s="13">
        <v>1794540614.9400005</v>
      </c>
      <c r="R70" s="13">
        <v>3323223361</v>
      </c>
      <c r="S70" s="13">
        <v>1794540614.9400005</v>
      </c>
      <c r="T70" s="13">
        <v>-1528682746.0599995</v>
      </c>
      <c r="U70" s="40">
        <v>1</v>
      </c>
      <c r="V70" s="15">
        <v>0.54000000000000015</v>
      </c>
      <c r="W70" s="16">
        <v>0</v>
      </c>
      <c r="X70" s="16">
        <v>-3323223361</v>
      </c>
    </row>
    <row r="71" spans="1:24" x14ac:dyDescent="0.45">
      <c r="A71" s="35" t="s">
        <v>5</v>
      </c>
      <c r="B71" s="35" t="s">
        <v>77</v>
      </c>
      <c r="C71" s="35" t="s">
        <v>103</v>
      </c>
      <c r="D71" s="5">
        <v>3323223361</v>
      </c>
      <c r="E71" s="6">
        <v>45300</v>
      </c>
      <c r="F71" s="7">
        <v>45473</v>
      </c>
      <c r="G71" s="7">
        <f t="shared" si="4"/>
        <v>45626</v>
      </c>
      <c r="H71" s="8">
        <v>5.7</v>
      </c>
      <c r="I71" s="8">
        <v>20.3</v>
      </c>
      <c r="J71" s="9">
        <v>11</v>
      </c>
      <c r="K71" s="3">
        <v>6</v>
      </c>
      <c r="L71" s="17">
        <f t="shared" si="5"/>
        <v>0.42307692307692307</v>
      </c>
      <c r="M71" s="17">
        <v>1</v>
      </c>
      <c r="N71" s="17">
        <v>0.56000000000000016</v>
      </c>
      <c r="O71" s="38"/>
      <c r="P71" s="39"/>
      <c r="Q71" s="13">
        <v>1861005082.1600006</v>
      </c>
      <c r="R71" s="13">
        <v>3323223361</v>
      </c>
      <c r="S71" s="13">
        <v>1861005082.1600006</v>
      </c>
      <c r="T71" s="13">
        <v>-1462218278.8399994</v>
      </c>
      <c r="U71" s="40">
        <v>1</v>
      </c>
      <c r="V71" s="15">
        <v>0.56000000000000016</v>
      </c>
      <c r="W71" s="16">
        <v>0</v>
      </c>
      <c r="X71" s="16">
        <v>-3323223361</v>
      </c>
    </row>
    <row r="72" spans="1:24" x14ac:dyDescent="0.45">
      <c r="A72" s="35" t="s">
        <v>5</v>
      </c>
      <c r="B72" s="35" t="s">
        <v>77</v>
      </c>
      <c r="C72" s="35" t="s">
        <v>103</v>
      </c>
      <c r="D72" s="5">
        <v>3323223361</v>
      </c>
      <c r="E72" s="6">
        <v>45300</v>
      </c>
      <c r="F72" s="7">
        <v>45473</v>
      </c>
      <c r="G72" s="7">
        <f t="shared" si="4"/>
        <v>45657</v>
      </c>
      <c r="H72" s="8">
        <v>5.7</v>
      </c>
      <c r="I72" s="8">
        <v>20.3</v>
      </c>
      <c r="J72" s="9">
        <v>12</v>
      </c>
      <c r="K72" s="3">
        <v>6</v>
      </c>
      <c r="L72" s="17">
        <f t="shared" si="5"/>
        <v>0.46153846153846156</v>
      </c>
      <c r="M72" s="17">
        <v>1</v>
      </c>
      <c r="N72" s="17">
        <v>0.58000000000000018</v>
      </c>
      <c r="O72" s="38"/>
      <c r="P72" s="39"/>
      <c r="Q72" s="13">
        <v>1927469549.3800006</v>
      </c>
      <c r="R72" s="13">
        <v>3323223361</v>
      </c>
      <c r="S72" s="13">
        <v>1927469549.3800006</v>
      </c>
      <c r="T72" s="13">
        <v>-1395753811.6199994</v>
      </c>
      <c r="U72" s="40">
        <v>1</v>
      </c>
      <c r="V72" s="15">
        <v>0.58000000000000018</v>
      </c>
      <c r="W72" s="16">
        <v>0</v>
      </c>
      <c r="X72" s="16">
        <v>-3323223361</v>
      </c>
    </row>
    <row r="73" spans="1:24" x14ac:dyDescent="0.45">
      <c r="A73" s="35" t="s">
        <v>5</v>
      </c>
      <c r="B73" s="35" t="s">
        <v>77</v>
      </c>
      <c r="C73" s="35" t="s">
        <v>103</v>
      </c>
      <c r="D73" s="5">
        <v>3323223361</v>
      </c>
      <c r="E73" s="6">
        <v>45300</v>
      </c>
      <c r="F73" s="7">
        <v>45473</v>
      </c>
      <c r="G73" s="7">
        <f t="shared" si="4"/>
        <v>45688</v>
      </c>
      <c r="H73" s="8">
        <v>5.7</v>
      </c>
      <c r="I73" s="8">
        <v>20.3</v>
      </c>
      <c r="J73" s="9">
        <v>13</v>
      </c>
      <c r="K73" s="3">
        <v>6</v>
      </c>
      <c r="L73" s="17">
        <f t="shared" si="5"/>
        <v>0.5</v>
      </c>
      <c r="M73" s="17">
        <v>1</v>
      </c>
      <c r="N73" s="17">
        <v>0.6000000000000002</v>
      </c>
      <c r="O73" s="38"/>
      <c r="P73" s="39"/>
      <c r="Q73" s="13">
        <v>1993934016.6000006</v>
      </c>
      <c r="R73" s="13">
        <v>3323223361</v>
      </c>
      <c r="S73" s="13">
        <v>1993934016.6000006</v>
      </c>
      <c r="T73" s="13">
        <v>-1329289344.3999994</v>
      </c>
      <c r="U73" s="40">
        <v>1</v>
      </c>
      <c r="V73" s="15">
        <v>0.6000000000000002</v>
      </c>
      <c r="W73" s="16">
        <v>0</v>
      </c>
      <c r="X73" s="16">
        <v>-3323223361</v>
      </c>
    </row>
    <row r="74" spans="1:24" x14ac:dyDescent="0.45">
      <c r="A74" s="35" t="s">
        <v>5</v>
      </c>
      <c r="B74" s="35" t="s">
        <v>77</v>
      </c>
      <c r="C74" s="35" t="s">
        <v>103</v>
      </c>
      <c r="D74" s="5">
        <v>3323223361</v>
      </c>
      <c r="E74" s="6">
        <v>45300</v>
      </c>
      <c r="F74" s="7">
        <v>45473</v>
      </c>
      <c r="G74" s="7">
        <f t="shared" si="4"/>
        <v>45716</v>
      </c>
      <c r="H74" s="8">
        <v>5.7</v>
      </c>
      <c r="I74" s="8">
        <v>20.3</v>
      </c>
      <c r="J74" s="9">
        <v>14</v>
      </c>
      <c r="K74" s="3">
        <v>6</v>
      </c>
      <c r="L74" s="17">
        <f t="shared" si="5"/>
        <v>0.53846153846153844</v>
      </c>
      <c r="M74" s="17">
        <v>1</v>
      </c>
      <c r="N74" s="17">
        <v>0.62000000000000022</v>
      </c>
      <c r="O74" s="38"/>
      <c r="P74" s="39"/>
      <c r="Q74" s="13">
        <v>2060398483.8200006</v>
      </c>
      <c r="R74" s="13">
        <v>3323223361</v>
      </c>
      <c r="S74" s="13">
        <v>2060398483.8200006</v>
      </c>
      <c r="T74" s="13">
        <v>-1262824877.1799994</v>
      </c>
      <c r="U74" s="40">
        <v>1</v>
      </c>
      <c r="V74" s="15">
        <v>0.62000000000000022</v>
      </c>
      <c r="W74" s="16">
        <v>0</v>
      </c>
      <c r="X74" s="16">
        <v>-3323223361</v>
      </c>
    </row>
    <row r="75" spans="1:24" x14ac:dyDescent="0.45">
      <c r="A75" s="35" t="s">
        <v>5</v>
      </c>
      <c r="B75" s="35" t="s">
        <v>77</v>
      </c>
      <c r="C75" s="35" t="s">
        <v>103</v>
      </c>
      <c r="D75" s="5">
        <v>3323223361</v>
      </c>
      <c r="E75" s="6">
        <v>45300</v>
      </c>
      <c r="F75" s="7">
        <v>45473</v>
      </c>
      <c r="G75" s="7">
        <f t="shared" si="4"/>
        <v>45747</v>
      </c>
      <c r="H75" s="8">
        <v>5.7</v>
      </c>
      <c r="I75" s="8">
        <v>20.3</v>
      </c>
      <c r="J75" s="9">
        <v>15</v>
      </c>
      <c r="K75" s="3">
        <v>6</v>
      </c>
      <c r="L75" s="17">
        <f t="shared" si="5"/>
        <v>0.57692307692307687</v>
      </c>
      <c r="M75" s="17">
        <v>1</v>
      </c>
      <c r="N75" s="17">
        <v>0.64000000000000024</v>
      </c>
      <c r="O75" s="38"/>
      <c r="P75" s="39"/>
      <c r="Q75" s="13">
        <v>2126862951.0400007</v>
      </c>
      <c r="R75" s="13">
        <v>3323223361</v>
      </c>
      <c r="S75" s="13">
        <v>2126862951.0400007</v>
      </c>
      <c r="T75" s="13">
        <v>-1196360409.9599993</v>
      </c>
      <c r="U75" s="40">
        <v>1</v>
      </c>
      <c r="V75" s="15">
        <v>0.64000000000000024</v>
      </c>
      <c r="W75" s="16">
        <v>0</v>
      </c>
      <c r="X75" s="16">
        <v>-3323223361</v>
      </c>
    </row>
    <row r="76" spans="1:24" x14ac:dyDescent="0.45">
      <c r="A76" s="35" t="s">
        <v>5</v>
      </c>
      <c r="B76" s="35" t="s">
        <v>77</v>
      </c>
      <c r="C76" s="35" t="s">
        <v>103</v>
      </c>
      <c r="D76" s="5">
        <v>3323223361</v>
      </c>
      <c r="E76" s="6">
        <v>45300</v>
      </c>
      <c r="F76" s="7">
        <v>45473</v>
      </c>
      <c r="G76" s="7">
        <f t="shared" si="4"/>
        <v>45777</v>
      </c>
      <c r="H76" s="8">
        <v>5.7</v>
      </c>
      <c r="I76" s="8">
        <v>20.3</v>
      </c>
      <c r="J76" s="9">
        <v>16</v>
      </c>
      <c r="K76" s="3">
        <v>6</v>
      </c>
      <c r="L76" s="17">
        <f t="shared" si="5"/>
        <v>0.61538461538461542</v>
      </c>
      <c r="M76" s="17">
        <v>1</v>
      </c>
      <c r="N76" s="17">
        <v>0.66000000000000025</v>
      </c>
      <c r="O76" s="38"/>
      <c r="P76" s="39"/>
      <c r="Q76" s="13">
        <v>2193327418.2600007</v>
      </c>
      <c r="R76" s="13">
        <v>3323223361</v>
      </c>
      <c r="S76" s="13">
        <v>2193327418.2600007</v>
      </c>
      <c r="T76" s="13">
        <v>-1129895942.7399993</v>
      </c>
      <c r="U76" s="40">
        <v>1</v>
      </c>
      <c r="V76" s="15">
        <v>0.66000000000000025</v>
      </c>
      <c r="W76" s="16">
        <v>0</v>
      </c>
      <c r="X76" s="16">
        <v>-3323223361</v>
      </c>
    </row>
    <row r="77" spans="1:24" x14ac:dyDescent="0.45">
      <c r="A77" s="35" t="s">
        <v>5</v>
      </c>
      <c r="B77" s="35" t="s">
        <v>77</v>
      </c>
      <c r="C77" s="35" t="s">
        <v>103</v>
      </c>
      <c r="D77" s="5">
        <v>3323223361</v>
      </c>
      <c r="E77" s="6">
        <v>45300</v>
      </c>
      <c r="F77" s="7">
        <v>45473</v>
      </c>
      <c r="G77" s="7">
        <f t="shared" si="4"/>
        <v>45808</v>
      </c>
      <c r="H77" s="8">
        <v>5.7</v>
      </c>
      <c r="I77" s="8">
        <v>20.3</v>
      </c>
      <c r="J77" s="9">
        <v>17</v>
      </c>
      <c r="K77" s="3">
        <v>6</v>
      </c>
      <c r="L77" s="17">
        <f t="shared" si="5"/>
        <v>0.65384615384615385</v>
      </c>
      <c r="M77" s="17">
        <v>1</v>
      </c>
      <c r="N77" s="17">
        <v>0.68000000000000027</v>
      </c>
      <c r="O77" s="38"/>
      <c r="P77" s="39"/>
      <c r="Q77" s="13">
        <v>2259791885.480001</v>
      </c>
      <c r="R77" s="13">
        <v>3323223361</v>
      </c>
      <c r="S77" s="13">
        <v>2259791885.480001</v>
      </c>
      <c r="T77" s="13">
        <v>-1063431475.519999</v>
      </c>
      <c r="U77" s="40">
        <v>1</v>
      </c>
      <c r="V77" s="15">
        <v>0.68000000000000027</v>
      </c>
      <c r="W77" s="16">
        <v>0</v>
      </c>
      <c r="X77" s="16">
        <v>-3323223361</v>
      </c>
    </row>
    <row r="78" spans="1:24" x14ac:dyDescent="0.45">
      <c r="A78" s="35" t="s">
        <v>5</v>
      </c>
      <c r="B78" s="35" t="s">
        <v>77</v>
      </c>
      <c r="C78" s="35" t="s">
        <v>103</v>
      </c>
      <c r="D78" s="5">
        <v>3323223361</v>
      </c>
      <c r="E78" s="6">
        <v>45300</v>
      </c>
      <c r="F78" s="7">
        <v>45473</v>
      </c>
      <c r="G78" s="7">
        <f t="shared" si="4"/>
        <v>45838</v>
      </c>
      <c r="H78" s="8">
        <v>5.7</v>
      </c>
      <c r="I78" s="8">
        <v>20.3</v>
      </c>
      <c r="J78" s="9">
        <v>18</v>
      </c>
      <c r="K78" s="3">
        <v>6</v>
      </c>
      <c r="L78" s="17">
        <f t="shared" si="5"/>
        <v>0.69230769230769229</v>
      </c>
      <c r="M78" s="17">
        <v>1</v>
      </c>
      <c r="N78" s="17">
        <v>0.70000000000000029</v>
      </c>
      <c r="O78" s="38"/>
      <c r="P78" s="39"/>
      <c r="Q78" s="13">
        <v>2326256352.7000008</v>
      </c>
      <c r="R78" s="13">
        <v>3323223361</v>
      </c>
      <c r="S78" s="13">
        <v>2326256352.7000008</v>
      </c>
      <c r="T78" s="13">
        <v>-996967008.29999924</v>
      </c>
      <c r="U78" s="40">
        <v>1</v>
      </c>
      <c r="V78" s="15">
        <v>0.70000000000000018</v>
      </c>
      <c r="W78" s="16">
        <v>0</v>
      </c>
      <c r="X78" s="16">
        <v>-3323223361</v>
      </c>
    </row>
    <row r="79" spans="1:24" x14ac:dyDescent="0.45">
      <c r="A79" s="35" t="s">
        <v>5</v>
      </c>
      <c r="B79" s="35" t="s">
        <v>77</v>
      </c>
      <c r="C79" s="35" t="s">
        <v>103</v>
      </c>
      <c r="D79" s="5">
        <v>3323223361</v>
      </c>
      <c r="E79" s="6">
        <v>45300</v>
      </c>
      <c r="F79" s="7">
        <v>45473</v>
      </c>
      <c r="G79" s="7">
        <f t="shared" si="4"/>
        <v>45869</v>
      </c>
      <c r="H79" s="8">
        <v>5.7</v>
      </c>
      <c r="I79" s="8">
        <v>20.3</v>
      </c>
      <c r="J79" s="9">
        <v>19</v>
      </c>
      <c r="K79" s="3">
        <v>6</v>
      </c>
      <c r="L79" s="17">
        <f t="shared" si="5"/>
        <v>0.73076923076923073</v>
      </c>
      <c r="M79" s="17">
        <v>1</v>
      </c>
      <c r="N79" s="17">
        <v>0.72000000000000031</v>
      </c>
      <c r="O79" s="38"/>
      <c r="P79" s="39"/>
      <c r="Q79" s="13">
        <v>2392720819.920001</v>
      </c>
      <c r="R79" s="13">
        <v>3323223361</v>
      </c>
      <c r="S79" s="13">
        <v>2392720819.920001</v>
      </c>
      <c r="T79" s="13">
        <v>-930502541.07999897</v>
      </c>
      <c r="U79" s="40">
        <v>1</v>
      </c>
      <c r="V79" s="15">
        <v>0.72000000000000031</v>
      </c>
      <c r="W79" s="16">
        <v>0</v>
      </c>
      <c r="X79" s="16">
        <v>-3323223361</v>
      </c>
    </row>
    <row r="80" spans="1:24" x14ac:dyDescent="0.45">
      <c r="A80" s="35" t="s">
        <v>5</v>
      </c>
      <c r="B80" s="35" t="s">
        <v>77</v>
      </c>
      <c r="C80" s="35" t="s">
        <v>103</v>
      </c>
      <c r="D80" s="5">
        <v>3323223361</v>
      </c>
      <c r="E80" s="6">
        <v>45300</v>
      </c>
      <c r="F80" s="7">
        <v>45473</v>
      </c>
      <c r="G80" s="7">
        <f t="shared" si="4"/>
        <v>45900</v>
      </c>
      <c r="H80" s="8">
        <v>5.7</v>
      </c>
      <c r="I80" s="8">
        <v>20.3</v>
      </c>
      <c r="J80" s="9">
        <v>20</v>
      </c>
      <c r="K80" s="3">
        <v>6</v>
      </c>
      <c r="L80" s="17">
        <f t="shared" si="5"/>
        <v>0.76923076923076927</v>
      </c>
      <c r="M80" s="17">
        <v>1</v>
      </c>
      <c r="N80" s="17">
        <v>0.74000000000000032</v>
      </c>
      <c r="O80" s="38"/>
      <c r="P80" s="39"/>
      <c r="Q80" s="13">
        <v>2459185287.1400013</v>
      </c>
      <c r="R80" s="13">
        <v>3323223361</v>
      </c>
      <c r="S80" s="13">
        <v>2459185287.1400013</v>
      </c>
      <c r="T80" s="13">
        <v>-864038073.8599987</v>
      </c>
      <c r="U80" s="40">
        <v>1</v>
      </c>
      <c r="V80" s="15">
        <v>0.74000000000000044</v>
      </c>
      <c r="W80" s="16">
        <v>0</v>
      </c>
      <c r="X80" s="16">
        <v>-3323223361</v>
      </c>
    </row>
    <row r="81" spans="1:24" x14ac:dyDescent="0.45">
      <c r="A81" s="35" t="s">
        <v>5</v>
      </c>
      <c r="B81" s="35" t="s">
        <v>77</v>
      </c>
      <c r="C81" s="35" t="s">
        <v>103</v>
      </c>
      <c r="D81" s="5">
        <v>3323223361</v>
      </c>
      <c r="E81" s="6">
        <v>45300</v>
      </c>
      <c r="F81" s="7">
        <v>45473</v>
      </c>
      <c r="G81" s="7">
        <f t="shared" si="4"/>
        <v>45930</v>
      </c>
      <c r="H81" s="8">
        <v>5.7</v>
      </c>
      <c r="I81" s="8">
        <v>20.3</v>
      </c>
      <c r="J81" s="9">
        <v>21</v>
      </c>
      <c r="K81" s="3">
        <v>6</v>
      </c>
      <c r="L81" s="17">
        <f t="shared" si="5"/>
        <v>0.80769230769230771</v>
      </c>
      <c r="M81" s="17">
        <v>1</v>
      </c>
      <c r="N81" s="17">
        <v>0.76000000000000034</v>
      </c>
      <c r="O81" s="38"/>
      <c r="P81" s="39"/>
      <c r="Q81" s="13">
        <v>2525649754.3600011</v>
      </c>
      <c r="R81" s="13">
        <v>3323223361</v>
      </c>
      <c r="S81" s="13">
        <v>2525649754.3600011</v>
      </c>
      <c r="T81" s="13">
        <v>-797573606.63999891</v>
      </c>
      <c r="U81" s="40">
        <v>1</v>
      </c>
      <c r="V81" s="15">
        <v>0.76000000000000034</v>
      </c>
      <c r="W81" s="16">
        <v>0</v>
      </c>
      <c r="X81" s="16">
        <v>-3323223361</v>
      </c>
    </row>
    <row r="82" spans="1:24" x14ac:dyDescent="0.45">
      <c r="A82" s="35" t="s">
        <v>5</v>
      </c>
      <c r="B82" s="35" t="s">
        <v>77</v>
      </c>
      <c r="C82" s="35" t="s">
        <v>103</v>
      </c>
      <c r="D82" s="5">
        <v>3323223361</v>
      </c>
      <c r="E82" s="6">
        <v>45300</v>
      </c>
      <c r="F82" s="7">
        <v>45473</v>
      </c>
      <c r="G82" s="7">
        <f t="shared" si="4"/>
        <v>45961</v>
      </c>
      <c r="H82" s="8">
        <v>5.7</v>
      </c>
      <c r="I82" s="8">
        <v>20.3</v>
      </c>
      <c r="J82" s="9">
        <v>22</v>
      </c>
      <c r="K82" s="3">
        <v>6</v>
      </c>
      <c r="L82" s="17">
        <f t="shared" si="5"/>
        <v>0.84615384615384615</v>
      </c>
      <c r="M82" s="17">
        <v>1</v>
      </c>
      <c r="N82" s="17">
        <v>0.78000000000000036</v>
      </c>
      <c r="O82" s="38"/>
      <c r="P82" s="39"/>
      <c r="Q82" s="13">
        <v>2592114221.5800014</v>
      </c>
      <c r="R82" s="13">
        <v>3323223361</v>
      </c>
      <c r="S82" s="13">
        <v>2592114221.5800014</v>
      </c>
      <c r="T82" s="13">
        <v>-731109139.41999865</v>
      </c>
      <c r="U82" s="40">
        <v>1</v>
      </c>
      <c r="V82" s="15">
        <v>0.78000000000000036</v>
      </c>
      <c r="W82" s="16">
        <v>0</v>
      </c>
      <c r="X82" s="16">
        <v>-3323223361</v>
      </c>
    </row>
    <row r="83" spans="1:24" x14ac:dyDescent="0.45">
      <c r="A83" s="35" t="s">
        <v>5</v>
      </c>
      <c r="B83" s="35" t="s">
        <v>77</v>
      </c>
      <c r="C83" s="35" t="s">
        <v>103</v>
      </c>
      <c r="D83" s="5">
        <v>3323223361</v>
      </c>
      <c r="E83" s="6">
        <v>45300</v>
      </c>
      <c r="F83" s="7">
        <v>45473</v>
      </c>
      <c r="G83" s="7">
        <f t="shared" si="4"/>
        <v>45991</v>
      </c>
      <c r="H83" s="8">
        <v>5.7</v>
      </c>
      <c r="I83" s="8">
        <v>20.3</v>
      </c>
      <c r="J83" s="9">
        <v>23</v>
      </c>
      <c r="K83" s="3">
        <v>6</v>
      </c>
      <c r="L83" s="17">
        <f t="shared" si="5"/>
        <v>0.88461538461538458</v>
      </c>
      <c r="M83" s="17">
        <v>1</v>
      </c>
      <c r="N83" s="17">
        <v>0.80000000000000038</v>
      </c>
      <c r="O83" s="38"/>
      <c r="P83" s="39"/>
      <c r="Q83" s="13">
        <v>2658578688.8000011</v>
      </c>
      <c r="R83" s="13">
        <v>3323223361</v>
      </c>
      <c r="S83" s="13">
        <v>2658578688.8000011</v>
      </c>
      <c r="T83" s="13">
        <v>-664644672.19999886</v>
      </c>
      <c r="U83" s="40">
        <v>1</v>
      </c>
      <c r="V83" s="15">
        <v>0.80000000000000038</v>
      </c>
      <c r="W83" s="16">
        <v>0</v>
      </c>
      <c r="X83" s="16">
        <v>-3323223361</v>
      </c>
    </row>
    <row r="84" spans="1:24" x14ac:dyDescent="0.45">
      <c r="A84" s="35" t="s">
        <v>5</v>
      </c>
      <c r="B84" s="35" t="s">
        <v>77</v>
      </c>
      <c r="C84" s="35" t="s">
        <v>103</v>
      </c>
      <c r="D84" s="5">
        <v>3323223361</v>
      </c>
      <c r="E84" s="6">
        <v>45300</v>
      </c>
      <c r="F84" s="7">
        <v>45473</v>
      </c>
      <c r="G84" s="7">
        <f t="shared" si="4"/>
        <v>46022</v>
      </c>
      <c r="H84" s="8">
        <v>5.7</v>
      </c>
      <c r="I84" s="8">
        <v>20.3</v>
      </c>
      <c r="J84" s="9">
        <v>24</v>
      </c>
      <c r="K84" s="3">
        <v>6</v>
      </c>
      <c r="L84" s="17">
        <f t="shared" si="5"/>
        <v>0.92307692307692313</v>
      </c>
      <c r="M84" s="17">
        <v>1</v>
      </c>
      <c r="N84" s="17">
        <v>0.8200000000000004</v>
      </c>
      <c r="O84" s="38"/>
      <c r="P84" s="39"/>
      <c r="Q84" s="13">
        <v>2725043156.0200014</v>
      </c>
      <c r="R84" s="13">
        <v>3323223361</v>
      </c>
      <c r="S84" s="13">
        <v>2725043156.0200014</v>
      </c>
      <c r="T84" s="13">
        <v>-598180204.97999859</v>
      </c>
      <c r="U84" s="40">
        <v>1</v>
      </c>
      <c r="V84" s="15">
        <v>0.8200000000000004</v>
      </c>
      <c r="W84" s="16">
        <v>0</v>
      </c>
      <c r="X84" s="16">
        <v>-3323223361</v>
      </c>
    </row>
    <row r="85" spans="1:24" x14ac:dyDescent="0.45">
      <c r="A85" s="35" t="s">
        <v>5</v>
      </c>
      <c r="B85" s="35" t="s">
        <v>77</v>
      </c>
      <c r="C85" s="35" t="s">
        <v>103</v>
      </c>
      <c r="D85" s="5">
        <v>3323223361</v>
      </c>
      <c r="E85" s="6">
        <v>45300</v>
      </c>
      <c r="F85" s="7">
        <v>45473</v>
      </c>
      <c r="G85" s="7">
        <f t="shared" si="4"/>
        <v>46053</v>
      </c>
      <c r="H85" s="8">
        <v>5.7</v>
      </c>
      <c r="I85" s="8">
        <v>20.3</v>
      </c>
      <c r="J85" s="9">
        <v>25</v>
      </c>
      <c r="K85" s="3">
        <v>6</v>
      </c>
      <c r="L85" s="17">
        <f t="shared" si="5"/>
        <v>0.96153846153846156</v>
      </c>
      <c r="M85" s="17">
        <v>1</v>
      </c>
      <c r="N85" s="17">
        <v>0.84000000000000041</v>
      </c>
      <c r="O85" s="38"/>
      <c r="P85" s="39"/>
      <c r="Q85" s="13">
        <v>2791507623.2400012</v>
      </c>
      <c r="R85" s="13">
        <v>3323223361</v>
      </c>
      <c r="S85" s="13">
        <v>2791507623.2400012</v>
      </c>
      <c r="T85" s="13">
        <v>-531715737.7599988</v>
      </c>
      <c r="U85" s="40">
        <v>1</v>
      </c>
      <c r="V85" s="15">
        <v>0.84000000000000041</v>
      </c>
      <c r="W85" s="16">
        <v>0</v>
      </c>
      <c r="X85" s="16">
        <v>-3323223361</v>
      </c>
    </row>
    <row r="86" spans="1:24" x14ac:dyDescent="0.45">
      <c r="A86" s="35" t="s">
        <v>5</v>
      </c>
      <c r="B86" s="35" t="s">
        <v>77</v>
      </c>
      <c r="C86" s="35" t="s">
        <v>103</v>
      </c>
      <c r="D86" s="5">
        <v>3323223361</v>
      </c>
      <c r="E86" s="6">
        <v>45300</v>
      </c>
      <c r="F86" s="7">
        <v>45473</v>
      </c>
      <c r="G86" s="7">
        <f t="shared" si="4"/>
        <v>46081</v>
      </c>
      <c r="H86" s="8">
        <v>5.7</v>
      </c>
      <c r="I86" s="8">
        <v>20.3</v>
      </c>
      <c r="J86" s="9">
        <v>26</v>
      </c>
      <c r="K86" s="3">
        <v>6</v>
      </c>
      <c r="L86" s="17">
        <f t="shared" si="5"/>
        <v>1</v>
      </c>
      <c r="M86" s="17">
        <v>1</v>
      </c>
      <c r="N86" s="17">
        <v>0.86000000000000043</v>
      </c>
      <c r="O86" s="38"/>
      <c r="P86" s="39"/>
      <c r="Q86" s="13">
        <v>2857972090.4600015</v>
      </c>
      <c r="R86" s="13">
        <v>3323223361</v>
      </c>
      <c r="S86" s="13">
        <v>2857972090.4600015</v>
      </c>
      <c r="T86" s="13">
        <v>-465251270.53999853</v>
      </c>
      <c r="U86" s="40">
        <v>1</v>
      </c>
      <c r="V86" s="15">
        <v>0.86000000000000043</v>
      </c>
      <c r="W86" s="16">
        <v>0</v>
      </c>
      <c r="X86" s="16">
        <v>-3323223361</v>
      </c>
    </row>
    <row r="87" spans="1:24" x14ac:dyDescent="0.45">
      <c r="A87" s="3" t="s">
        <v>40</v>
      </c>
      <c r="B87" s="3" t="s">
        <v>91</v>
      </c>
      <c r="C87" s="3" t="s">
        <v>101</v>
      </c>
      <c r="D87" s="5">
        <v>7578354145</v>
      </c>
      <c r="E87" s="6">
        <v>45734</v>
      </c>
      <c r="F87" s="7">
        <v>46234</v>
      </c>
      <c r="G87" s="7">
        <f t="shared" si="4"/>
        <v>45747</v>
      </c>
      <c r="H87" s="8">
        <v>16.43</v>
      </c>
      <c r="I87" s="8">
        <v>-5.43</v>
      </c>
      <c r="J87" s="9">
        <v>1</v>
      </c>
      <c r="K87" s="3">
        <v>16</v>
      </c>
      <c r="L87" s="17">
        <f t="shared" si="5"/>
        <v>9.0909090909090912E-2</v>
      </c>
      <c r="M87" s="17">
        <v>0.15</v>
      </c>
      <c r="N87" s="17">
        <v>0.15</v>
      </c>
      <c r="O87" s="13">
        <v>162422393</v>
      </c>
      <c r="P87" s="13">
        <v>162422393</v>
      </c>
      <c r="Q87" s="13">
        <v>1136753121.75</v>
      </c>
      <c r="R87" s="13">
        <v>1136753121.75</v>
      </c>
      <c r="S87" s="13">
        <v>974330728.75</v>
      </c>
      <c r="T87" s="13">
        <v>0</v>
      </c>
      <c r="U87" s="14">
        <v>6.998746298178232</v>
      </c>
      <c r="V87" s="15">
        <v>1</v>
      </c>
      <c r="W87" s="16">
        <v>1082815953.3333333</v>
      </c>
      <c r="X87" s="16">
        <v>-6495538191.666667</v>
      </c>
    </row>
    <row r="88" spans="1:24" x14ac:dyDescent="0.45">
      <c r="A88" s="3" t="s">
        <v>40</v>
      </c>
      <c r="B88" s="3" t="s">
        <v>91</v>
      </c>
      <c r="C88" s="3" t="s">
        <v>101</v>
      </c>
      <c r="D88" s="5">
        <v>7578354145</v>
      </c>
      <c r="E88" s="6">
        <v>45734</v>
      </c>
      <c r="F88" s="7">
        <v>46234</v>
      </c>
      <c r="G88" s="7">
        <f t="shared" si="4"/>
        <v>45777</v>
      </c>
      <c r="H88" s="8">
        <v>16.43</v>
      </c>
      <c r="I88" s="8">
        <v>-5.43</v>
      </c>
      <c r="J88" s="9">
        <v>2</v>
      </c>
      <c r="K88" s="3">
        <v>16</v>
      </c>
      <c r="L88" s="17">
        <f t="shared" si="5"/>
        <v>0.18181818181818182</v>
      </c>
      <c r="M88" s="17">
        <v>0.2</v>
      </c>
      <c r="N88" s="17">
        <v>0.2</v>
      </c>
      <c r="O88" s="13">
        <v>932894347</v>
      </c>
      <c r="P88" s="13">
        <v>932894347</v>
      </c>
      <c r="Q88" s="13">
        <v>1515670829</v>
      </c>
      <c r="R88" s="13">
        <v>1515670829</v>
      </c>
      <c r="S88" s="13">
        <v>582776482</v>
      </c>
      <c r="T88" s="13">
        <v>0</v>
      </c>
      <c r="U88" s="14">
        <v>1.6246971952119675</v>
      </c>
      <c r="V88" s="15">
        <v>1</v>
      </c>
      <c r="W88" s="16">
        <v>4664471735</v>
      </c>
      <c r="X88" s="16">
        <v>-2913882410</v>
      </c>
    </row>
    <row r="89" spans="1:24" x14ac:dyDescent="0.45">
      <c r="A89" s="3" t="s">
        <v>40</v>
      </c>
      <c r="B89" s="3" t="s">
        <v>91</v>
      </c>
      <c r="C89" s="3" t="s">
        <v>101</v>
      </c>
      <c r="D89" s="5">
        <v>7578354145</v>
      </c>
      <c r="E89" s="6">
        <v>45734</v>
      </c>
      <c r="F89" s="7">
        <v>46234</v>
      </c>
      <c r="G89" s="7">
        <f t="shared" si="4"/>
        <v>45808</v>
      </c>
      <c r="H89" s="8">
        <v>16.43</v>
      </c>
      <c r="I89" s="8">
        <v>-5.43</v>
      </c>
      <c r="J89" s="9">
        <v>3</v>
      </c>
      <c r="K89" s="3">
        <v>16</v>
      </c>
      <c r="L89" s="17">
        <f t="shared" si="5"/>
        <v>0.27272727272727271</v>
      </c>
      <c r="M89" s="17">
        <v>0.23</v>
      </c>
      <c r="N89" s="17">
        <v>0.23</v>
      </c>
      <c r="O89" s="13">
        <v>489855784</v>
      </c>
      <c r="P89" s="13">
        <v>489855784</v>
      </c>
      <c r="Q89" s="13">
        <v>1743021453.3500001</v>
      </c>
      <c r="R89" s="13">
        <v>1743021453.3500001</v>
      </c>
      <c r="S89" s="13">
        <v>1253165669.3500001</v>
      </c>
      <c r="T89" s="13">
        <v>0</v>
      </c>
      <c r="U89" s="14">
        <v>3.5582338930798461</v>
      </c>
      <c r="V89" s="15">
        <v>1</v>
      </c>
      <c r="W89" s="16">
        <v>2129807756.521739</v>
      </c>
      <c r="X89" s="16">
        <v>-5448546388.478261</v>
      </c>
    </row>
    <row r="90" spans="1:24" x14ac:dyDescent="0.45">
      <c r="A90" s="3" t="s">
        <v>40</v>
      </c>
      <c r="B90" s="3" t="s">
        <v>91</v>
      </c>
      <c r="C90" s="3" t="s">
        <v>101</v>
      </c>
      <c r="D90" s="5">
        <v>7578354145</v>
      </c>
      <c r="E90" s="6">
        <v>45734</v>
      </c>
      <c r="F90" s="7">
        <v>46234</v>
      </c>
      <c r="G90" s="7">
        <f t="shared" si="4"/>
        <v>45838</v>
      </c>
      <c r="H90" s="8">
        <v>16.43</v>
      </c>
      <c r="I90" s="8">
        <v>-5.43</v>
      </c>
      <c r="J90" s="9">
        <v>4</v>
      </c>
      <c r="K90" s="3">
        <v>16</v>
      </c>
      <c r="L90" s="17">
        <f t="shared" si="5"/>
        <v>0.36363636363636365</v>
      </c>
      <c r="M90" s="17">
        <v>0.3</v>
      </c>
      <c r="N90" s="17">
        <v>0.3</v>
      </c>
      <c r="O90" s="13">
        <v>284665413</v>
      </c>
      <c r="P90" s="13">
        <v>284665413</v>
      </c>
      <c r="Q90" s="13">
        <v>2273506243.5</v>
      </c>
      <c r="R90" s="13">
        <v>2273506243.5</v>
      </c>
      <c r="S90" s="13">
        <v>1988840830.5</v>
      </c>
      <c r="T90" s="13">
        <v>0</v>
      </c>
      <c r="U90" s="14">
        <v>7.986591063312634</v>
      </c>
      <c r="V90" s="15">
        <v>1</v>
      </c>
      <c r="W90" s="16">
        <v>948884710</v>
      </c>
      <c r="X90" s="16">
        <v>-6629469435</v>
      </c>
    </row>
    <row r="91" spans="1:24" x14ac:dyDescent="0.45">
      <c r="A91" s="3" t="s">
        <v>40</v>
      </c>
      <c r="B91" s="3" t="s">
        <v>91</v>
      </c>
      <c r="C91" s="3" t="s">
        <v>101</v>
      </c>
      <c r="D91" s="5">
        <v>7578354145</v>
      </c>
      <c r="E91" s="6">
        <v>45734</v>
      </c>
      <c r="F91" s="7">
        <v>46234</v>
      </c>
      <c r="G91" s="7">
        <f t="shared" si="4"/>
        <v>45869</v>
      </c>
      <c r="H91" s="8">
        <v>16.43</v>
      </c>
      <c r="I91" s="8">
        <v>-5.43</v>
      </c>
      <c r="J91" s="9">
        <v>5</v>
      </c>
      <c r="K91" s="3">
        <v>16</v>
      </c>
      <c r="L91" s="17">
        <f t="shared" si="5"/>
        <v>0.45454545454545453</v>
      </c>
      <c r="M91" s="17">
        <v>0.37</v>
      </c>
      <c r="N91" s="17">
        <v>0.37</v>
      </c>
      <c r="O91" s="13">
        <v>389803413</v>
      </c>
      <c r="P91" s="13">
        <v>389803413</v>
      </c>
      <c r="Q91" s="13">
        <v>2803991033.6500001</v>
      </c>
      <c r="R91" s="13">
        <v>2803991033.6500001</v>
      </c>
      <c r="S91" s="13">
        <v>2414187620.6500001</v>
      </c>
      <c r="T91" s="13">
        <v>0</v>
      </c>
      <c r="U91" s="14">
        <v>7.1933465437615345</v>
      </c>
      <c r="V91" s="15">
        <v>1</v>
      </c>
      <c r="W91" s="16">
        <v>1053522737.8378378</v>
      </c>
      <c r="X91" s="16">
        <v>-6524831407.1621618</v>
      </c>
    </row>
    <row r="92" spans="1:24" x14ac:dyDescent="0.45">
      <c r="A92" s="3" t="s">
        <v>40</v>
      </c>
      <c r="B92" s="3" t="s">
        <v>91</v>
      </c>
      <c r="C92" s="3" t="s">
        <v>101</v>
      </c>
      <c r="D92" s="5">
        <v>7578354145</v>
      </c>
      <c r="E92" s="6">
        <v>45734</v>
      </c>
      <c r="F92" s="7">
        <v>46234</v>
      </c>
      <c r="G92" s="7">
        <f t="shared" si="4"/>
        <v>45900</v>
      </c>
      <c r="H92" s="8">
        <v>16.43</v>
      </c>
      <c r="I92" s="8">
        <v>-5.43</v>
      </c>
      <c r="J92" s="9">
        <v>6</v>
      </c>
      <c r="K92" s="3">
        <v>16</v>
      </c>
      <c r="L92" s="17">
        <f t="shared" si="5"/>
        <v>0.54545454545454541</v>
      </c>
      <c r="M92" s="17">
        <v>0.44</v>
      </c>
      <c r="N92" s="17">
        <v>0.44</v>
      </c>
      <c r="O92" s="13">
        <v>389803413</v>
      </c>
      <c r="P92" s="13">
        <v>389803413</v>
      </c>
      <c r="Q92" s="13">
        <v>3334475823.8000002</v>
      </c>
      <c r="R92" s="13">
        <v>3334475823.8000002</v>
      </c>
      <c r="S92" s="13">
        <v>2944672410.8000002</v>
      </c>
      <c r="T92" s="13">
        <v>0</v>
      </c>
      <c r="U92" s="14">
        <v>8.5542499439326356</v>
      </c>
      <c r="V92" s="15">
        <v>1</v>
      </c>
      <c r="W92" s="16">
        <v>885916847.72727275</v>
      </c>
      <c r="X92" s="16">
        <v>-6692437297.272727</v>
      </c>
    </row>
    <row r="93" spans="1:24" x14ac:dyDescent="0.45">
      <c r="A93" s="3" t="s">
        <v>40</v>
      </c>
      <c r="B93" s="3" t="s">
        <v>91</v>
      </c>
      <c r="C93" s="3" t="s">
        <v>101</v>
      </c>
      <c r="D93" s="5">
        <v>7578354145</v>
      </c>
      <c r="E93" s="6">
        <v>45734</v>
      </c>
      <c r="F93" s="7">
        <v>46234</v>
      </c>
      <c r="G93" s="7">
        <f t="shared" si="4"/>
        <v>45930</v>
      </c>
      <c r="H93" s="8">
        <v>16.43</v>
      </c>
      <c r="I93" s="8">
        <v>-5.43</v>
      </c>
      <c r="J93" s="9">
        <v>7</v>
      </c>
      <c r="K93" s="3">
        <v>16</v>
      </c>
      <c r="L93" s="17">
        <f t="shared" si="5"/>
        <v>0.63636363636363635</v>
      </c>
      <c r="M93" s="17">
        <v>0.51</v>
      </c>
      <c r="N93" s="17">
        <v>0.51</v>
      </c>
      <c r="O93" s="13">
        <v>389803413</v>
      </c>
      <c r="P93" s="13">
        <v>389803413</v>
      </c>
      <c r="Q93" s="13">
        <v>3864960613.9500003</v>
      </c>
      <c r="R93" s="13">
        <v>3864960613.9500003</v>
      </c>
      <c r="S93" s="13">
        <v>3475157200.9500003</v>
      </c>
      <c r="T93" s="13">
        <v>0</v>
      </c>
      <c r="U93" s="14">
        <v>9.9151533441037376</v>
      </c>
      <c r="V93" s="15">
        <v>1</v>
      </c>
      <c r="W93" s="16">
        <v>764320417.64705873</v>
      </c>
      <c r="X93" s="16">
        <v>-6814033727.3529415</v>
      </c>
    </row>
    <row r="94" spans="1:24" x14ac:dyDescent="0.45">
      <c r="A94" s="3" t="s">
        <v>40</v>
      </c>
      <c r="B94" s="3" t="s">
        <v>91</v>
      </c>
      <c r="C94" s="3" t="s">
        <v>101</v>
      </c>
      <c r="D94" s="5">
        <v>7578354145</v>
      </c>
      <c r="E94" s="6">
        <v>45734</v>
      </c>
      <c r="F94" s="7">
        <v>46234</v>
      </c>
      <c r="G94" s="7">
        <f t="shared" ref="G94:G141" si="6">EOMONTH(E94,J94-1)</f>
        <v>45961</v>
      </c>
      <c r="H94" s="8">
        <v>16.43</v>
      </c>
      <c r="I94" s="8">
        <v>-5.43</v>
      </c>
      <c r="J94" s="9">
        <v>8</v>
      </c>
      <c r="K94" s="3">
        <v>16</v>
      </c>
      <c r="L94" s="17">
        <f t="shared" si="5"/>
        <v>0.72727272727272729</v>
      </c>
      <c r="M94" s="17">
        <v>0.57999999999999996</v>
      </c>
      <c r="N94" s="17">
        <v>0.57999999999999996</v>
      </c>
      <c r="O94" s="13">
        <v>389803413</v>
      </c>
      <c r="P94" s="13">
        <v>389803413</v>
      </c>
      <c r="Q94" s="13">
        <v>4395445404.0999994</v>
      </c>
      <c r="R94" s="13">
        <v>4395445404.0999994</v>
      </c>
      <c r="S94" s="13">
        <v>4005641991.0999994</v>
      </c>
      <c r="T94" s="13">
        <v>0</v>
      </c>
      <c r="U94" s="14">
        <v>11.276056744274836</v>
      </c>
      <c r="V94" s="15">
        <v>1</v>
      </c>
      <c r="W94" s="16">
        <v>672074850.00000012</v>
      </c>
      <c r="X94" s="16">
        <v>-6906279295</v>
      </c>
    </row>
    <row r="95" spans="1:24" x14ac:dyDescent="0.45">
      <c r="A95" s="3" t="s">
        <v>40</v>
      </c>
      <c r="B95" s="3" t="s">
        <v>91</v>
      </c>
      <c r="C95" s="3" t="s">
        <v>101</v>
      </c>
      <c r="D95" s="5">
        <v>7578354145</v>
      </c>
      <c r="E95" s="6">
        <v>45734</v>
      </c>
      <c r="F95" s="7">
        <v>46234</v>
      </c>
      <c r="G95" s="7">
        <f t="shared" si="6"/>
        <v>45991</v>
      </c>
      <c r="H95" s="8">
        <v>16.43</v>
      </c>
      <c r="I95" s="8">
        <v>-5.43</v>
      </c>
      <c r="J95" s="9">
        <v>9</v>
      </c>
      <c r="K95" s="3">
        <v>16</v>
      </c>
      <c r="L95" s="17">
        <f t="shared" si="5"/>
        <v>0.81818181818181823</v>
      </c>
      <c r="M95" s="17">
        <v>0.65</v>
      </c>
      <c r="N95" s="17">
        <v>0.65</v>
      </c>
      <c r="O95" s="13">
        <v>377303413</v>
      </c>
      <c r="P95" s="13">
        <v>377303413</v>
      </c>
      <c r="Q95" s="13">
        <v>4925930194.25</v>
      </c>
      <c r="R95" s="13">
        <v>4925930194.25</v>
      </c>
      <c r="S95" s="13">
        <v>4548626781.25</v>
      </c>
      <c r="T95" s="13">
        <v>0</v>
      </c>
      <c r="U95" s="14">
        <v>13.055620555041202</v>
      </c>
      <c r="V95" s="15">
        <v>1</v>
      </c>
      <c r="W95" s="16">
        <v>580466789.23076928</v>
      </c>
      <c r="X95" s="16">
        <v>-6997887355.7692308</v>
      </c>
    </row>
    <row r="96" spans="1:24" x14ac:dyDescent="0.45">
      <c r="A96" s="3" t="s">
        <v>40</v>
      </c>
      <c r="B96" s="3" t="s">
        <v>91</v>
      </c>
      <c r="C96" s="3" t="s">
        <v>101</v>
      </c>
      <c r="D96" s="5">
        <v>7578354145</v>
      </c>
      <c r="E96" s="6">
        <v>45734</v>
      </c>
      <c r="F96" s="7">
        <v>46234</v>
      </c>
      <c r="G96" s="7">
        <f t="shared" si="6"/>
        <v>46022</v>
      </c>
      <c r="H96" s="8">
        <v>16.43</v>
      </c>
      <c r="I96" s="8">
        <v>-5.43</v>
      </c>
      <c r="J96" s="9">
        <v>10</v>
      </c>
      <c r="K96" s="3">
        <v>16</v>
      </c>
      <c r="L96" s="17">
        <f t="shared" si="5"/>
        <v>0.90909090909090906</v>
      </c>
      <c r="M96" s="17">
        <v>0.75</v>
      </c>
      <c r="N96" s="17">
        <v>0.75</v>
      </c>
      <c r="O96" s="13">
        <v>762092127</v>
      </c>
      <c r="P96" s="13">
        <v>762092127</v>
      </c>
      <c r="Q96" s="13">
        <v>5683765608.75</v>
      </c>
      <c r="R96" s="13">
        <v>5683765608.75</v>
      </c>
      <c r="S96" s="13">
        <v>4921673481.75</v>
      </c>
      <c r="T96" s="13">
        <v>0</v>
      </c>
      <c r="U96" s="14">
        <v>7.4581082881991252</v>
      </c>
      <c r="V96" s="15">
        <v>1</v>
      </c>
      <c r="W96" s="16">
        <v>1016122836</v>
      </c>
      <c r="X96" s="16">
        <v>-6562231309</v>
      </c>
    </row>
    <row r="97" spans="1:24" x14ac:dyDescent="0.45">
      <c r="A97" s="3" t="s">
        <v>40</v>
      </c>
      <c r="B97" s="3" t="s">
        <v>91</v>
      </c>
      <c r="C97" s="3" t="s">
        <v>101</v>
      </c>
      <c r="D97" s="5">
        <v>7578354145</v>
      </c>
      <c r="E97" s="6">
        <v>45734</v>
      </c>
      <c r="F97" s="7">
        <v>46234</v>
      </c>
      <c r="G97" s="7">
        <f t="shared" si="6"/>
        <v>46053</v>
      </c>
      <c r="H97" s="8">
        <v>16.43</v>
      </c>
      <c r="I97" s="8">
        <v>-5.43</v>
      </c>
      <c r="J97" s="9">
        <v>11</v>
      </c>
      <c r="K97" s="3">
        <v>16</v>
      </c>
      <c r="L97" s="17">
        <f t="shared" si="5"/>
        <v>1</v>
      </c>
      <c r="M97" s="17">
        <v>0.8</v>
      </c>
      <c r="N97" s="17">
        <v>0.8</v>
      </c>
      <c r="O97" s="13">
        <v>1384407400</v>
      </c>
      <c r="P97" s="13">
        <v>1384407400</v>
      </c>
      <c r="Q97" s="13">
        <v>6062683316</v>
      </c>
      <c r="R97" s="13">
        <v>6062683316</v>
      </c>
      <c r="S97" s="13">
        <v>4678275916</v>
      </c>
      <c r="T97" s="13">
        <v>0</v>
      </c>
      <c r="U97" s="14">
        <v>4.3792624309867172</v>
      </c>
      <c r="V97" s="15">
        <v>1</v>
      </c>
      <c r="W97" s="16">
        <v>1730509249.9999998</v>
      </c>
      <c r="X97" s="16">
        <v>-5847844895</v>
      </c>
    </row>
    <row r="98" spans="1:24" x14ac:dyDescent="0.45">
      <c r="A98" s="3" t="s">
        <v>63</v>
      </c>
      <c r="B98" s="3" t="s">
        <v>75</v>
      </c>
      <c r="C98" s="3" t="s">
        <v>101</v>
      </c>
      <c r="D98" s="5">
        <v>1965212706</v>
      </c>
      <c r="E98" s="6">
        <v>45971</v>
      </c>
      <c r="F98" s="7">
        <v>46022</v>
      </c>
      <c r="G98" s="7">
        <f t="shared" si="6"/>
        <v>45991</v>
      </c>
      <c r="H98" s="8">
        <v>1.7</v>
      </c>
      <c r="I98" s="8">
        <v>-0.7</v>
      </c>
      <c r="J98" s="9">
        <v>1</v>
      </c>
      <c r="K98" s="3">
        <v>2</v>
      </c>
      <c r="L98" s="17">
        <f t="shared" si="5"/>
        <v>0.25</v>
      </c>
      <c r="M98" s="17">
        <v>0.5</v>
      </c>
      <c r="N98" s="17">
        <v>0.5</v>
      </c>
      <c r="O98" s="13">
        <v>55878009</v>
      </c>
      <c r="P98" s="13">
        <v>55878009</v>
      </c>
      <c r="Q98" s="13">
        <v>982606353</v>
      </c>
      <c r="R98" s="13">
        <v>982606353</v>
      </c>
      <c r="S98" s="13">
        <v>926728344</v>
      </c>
      <c r="T98" s="13">
        <v>0</v>
      </c>
      <c r="U98" s="14">
        <v>17.584849041418064</v>
      </c>
      <c r="V98" s="15">
        <v>1</v>
      </c>
      <c r="W98" s="16">
        <v>111756018</v>
      </c>
      <c r="X98" s="16">
        <v>-1853456688</v>
      </c>
    </row>
    <row r="99" spans="1:24" x14ac:dyDescent="0.45">
      <c r="A99" s="3" t="s">
        <v>63</v>
      </c>
      <c r="B99" s="3" t="s">
        <v>75</v>
      </c>
      <c r="C99" s="3" t="s">
        <v>101</v>
      </c>
      <c r="D99" s="5">
        <v>1965212706</v>
      </c>
      <c r="E99" s="6">
        <v>45971</v>
      </c>
      <c r="F99" s="7">
        <v>46022</v>
      </c>
      <c r="G99" s="7">
        <f t="shared" si="6"/>
        <v>46022</v>
      </c>
      <c r="H99" s="8">
        <v>1.7</v>
      </c>
      <c r="I99" s="8">
        <v>0.30000000000000004</v>
      </c>
      <c r="J99" s="9">
        <v>2</v>
      </c>
      <c r="K99" s="3">
        <v>2</v>
      </c>
      <c r="L99" s="17">
        <f t="shared" si="5"/>
        <v>0.5</v>
      </c>
      <c r="M99" s="17">
        <v>1</v>
      </c>
      <c r="N99" s="17">
        <v>0.75</v>
      </c>
      <c r="O99" s="13">
        <v>20470785</v>
      </c>
      <c r="P99" s="13">
        <v>20470785</v>
      </c>
      <c r="Q99" s="13">
        <v>1473909529.5</v>
      </c>
      <c r="R99" s="13">
        <v>1965212706</v>
      </c>
      <c r="S99" s="13">
        <v>1453438744.5</v>
      </c>
      <c r="T99" s="13">
        <v>-491303176.5</v>
      </c>
      <c r="U99" s="14">
        <v>72.000635515443108</v>
      </c>
      <c r="V99" s="15">
        <v>0.75</v>
      </c>
      <c r="W99" s="16">
        <v>27294380</v>
      </c>
      <c r="X99" s="16">
        <v>-1937918326</v>
      </c>
    </row>
    <row r="100" spans="1:24" x14ac:dyDescent="0.45">
      <c r="A100" s="3" t="s">
        <v>63</v>
      </c>
      <c r="B100" s="3" t="s">
        <v>75</v>
      </c>
      <c r="C100" s="3" t="s">
        <v>101</v>
      </c>
      <c r="D100" s="5">
        <v>1965212706</v>
      </c>
      <c r="E100" s="6">
        <v>45971</v>
      </c>
      <c r="F100" s="7">
        <v>46022</v>
      </c>
      <c r="G100" s="7">
        <f t="shared" si="6"/>
        <v>46081</v>
      </c>
      <c r="H100" s="8">
        <v>1.7</v>
      </c>
      <c r="I100" s="8">
        <v>2.2999999999999998</v>
      </c>
      <c r="J100" s="9">
        <v>4</v>
      </c>
      <c r="K100" s="3">
        <v>2</v>
      </c>
      <c r="L100" s="17">
        <f t="shared" si="5"/>
        <v>1</v>
      </c>
      <c r="M100" s="17">
        <v>1</v>
      </c>
      <c r="N100" s="17">
        <v>1</v>
      </c>
      <c r="O100" s="13">
        <v>1888863912</v>
      </c>
      <c r="P100" s="13">
        <v>1888863912</v>
      </c>
      <c r="Q100" s="13">
        <v>1965212706</v>
      </c>
      <c r="R100" s="13">
        <v>1965212706</v>
      </c>
      <c r="S100" s="13">
        <v>76348794</v>
      </c>
      <c r="T100" s="13">
        <v>0</v>
      </c>
      <c r="U100" s="14">
        <v>1.0404204842471467</v>
      </c>
      <c r="V100" s="15">
        <v>1</v>
      </c>
      <c r="W100" s="16">
        <v>1888863912</v>
      </c>
      <c r="X100" s="16">
        <v>-76348794</v>
      </c>
    </row>
    <row r="101" spans="1:24" x14ac:dyDescent="0.45">
      <c r="A101" s="3" t="s">
        <v>30</v>
      </c>
      <c r="B101" s="3" t="s">
        <v>85</v>
      </c>
      <c r="C101" s="3" t="s">
        <v>102</v>
      </c>
      <c r="D101" s="5">
        <v>6272918706</v>
      </c>
      <c r="E101" s="6">
        <v>45581</v>
      </c>
      <c r="F101" s="7">
        <v>45626</v>
      </c>
      <c r="G101" s="7">
        <f t="shared" si="6"/>
        <v>45596</v>
      </c>
      <c r="H101" s="8">
        <v>1.47</v>
      </c>
      <c r="I101" s="8">
        <v>-0.47</v>
      </c>
      <c r="J101" s="9">
        <v>1</v>
      </c>
      <c r="K101" s="3">
        <v>1</v>
      </c>
      <c r="L101" s="17">
        <f t="shared" si="5"/>
        <v>0.33333333333333331</v>
      </c>
      <c r="M101" s="17">
        <v>1</v>
      </c>
      <c r="N101" s="17">
        <v>0.37</v>
      </c>
      <c r="O101" s="13">
        <v>-61974704</v>
      </c>
      <c r="P101" s="13">
        <v>-61974704</v>
      </c>
      <c r="Q101" s="13">
        <v>2320979921.2199998</v>
      </c>
      <c r="R101" s="13">
        <v>6272918706</v>
      </c>
      <c r="S101" s="13">
        <v>2382954625.2199998</v>
      </c>
      <c r="T101" s="13">
        <v>-3951938784.7800002</v>
      </c>
      <c r="U101" s="14">
        <v>-37.450439799115458</v>
      </c>
      <c r="V101" s="15">
        <v>0.36999999999999994</v>
      </c>
      <c r="W101" s="16">
        <v>-167499200</v>
      </c>
      <c r="X101" s="16">
        <v>-6440417906</v>
      </c>
    </row>
    <row r="102" spans="1:24" x14ac:dyDescent="0.45">
      <c r="A102" s="3" t="s">
        <v>30</v>
      </c>
      <c r="B102" s="3" t="s">
        <v>85</v>
      </c>
      <c r="C102" s="3" t="s">
        <v>102</v>
      </c>
      <c r="D102" s="5">
        <v>6272918706</v>
      </c>
      <c r="E102" s="6">
        <v>45581</v>
      </c>
      <c r="F102" s="7">
        <v>45626</v>
      </c>
      <c r="G102" s="7">
        <f t="shared" si="6"/>
        <v>45626</v>
      </c>
      <c r="H102" s="8">
        <v>1.47</v>
      </c>
      <c r="I102" s="8">
        <v>0.53</v>
      </c>
      <c r="J102" s="9">
        <v>2</v>
      </c>
      <c r="K102" s="3">
        <v>1</v>
      </c>
      <c r="L102" s="17">
        <f t="shared" si="5"/>
        <v>0.66666666666666663</v>
      </c>
      <c r="M102" s="17">
        <v>1</v>
      </c>
      <c r="N102" s="17">
        <v>0.85</v>
      </c>
      <c r="O102" s="13">
        <v>-61974704</v>
      </c>
      <c r="P102" s="13">
        <v>-61974704</v>
      </c>
      <c r="Q102" s="13">
        <v>5331980900.0999994</v>
      </c>
      <c r="R102" s="13">
        <v>6272918706</v>
      </c>
      <c r="S102" s="13">
        <v>5393955604.0999994</v>
      </c>
      <c r="T102" s="13">
        <v>-940937805.90000057</v>
      </c>
      <c r="U102" s="14">
        <v>-86.034794133103077</v>
      </c>
      <c r="V102" s="15">
        <v>0.84999999999999987</v>
      </c>
      <c r="W102" s="16">
        <v>-72911416.470588237</v>
      </c>
      <c r="X102" s="16">
        <v>-6345830122.4705887</v>
      </c>
    </row>
    <row r="103" spans="1:24" x14ac:dyDescent="0.45">
      <c r="A103" s="3" t="s">
        <v>30</v>
      </c>
      <c r="B103" s="3" t="s">
        <v>85</v>
      </c>
      <c r="C103" s="3" t="s">
        <v>102</v>
      </c>
      <c r="D103" s="5">
        <v>6272918706</v>
      </c>
      <c r="E103" s="6">
        <v>45581</v>
      </c>
      <c r="F103" s="7">
        <v>45626</v>
      </c>
      <c r="G103" s="7">
        <f t="shared" si="6"/>
        <v>45657</v>
      </c>
      <c r="H103" s="8">
        <v>1.47</v>
      </c>
      <c r="I103" s="8">
        <v>1.53</v>
      </c>
      <c r="J103" s="9">
        <v>3</v>
      </c>
      <c r="K103" s="3">
        <v>1</v>
      </c>
      <c r="L103" s="17">
        <f t="shared" si="5"/>
        <v>1</v>
      </c>
      <c r="M103" s="17">
        <v>1</v>
      </c>
      <c r="N103" s="17">
        <v>1</v>
      </c>
      <c r="O103" s="13">
        <v>246453590</v>
      </c>
      <c r="P103" s="13">
        <v>246453590</v>
      </c>
      <c r="Q103" s="13">
        <v>6272918706</v>
      </c>
      <c r="R103" s="13">
        <v>6272918706</v>
      </c>
      <c r="S103" s="13">
        <v>6026465116</v>
      </c>
      <c r="T103" s="13">
        <v>0</v>
      </c>
      <c r="U103" s="14">
        <v>25.452738205193114</v>
      </c>
      <c r="V103" s="15">
        <v>1</v>
      </c>
      <c r="W103" s="16">
        <v>246453590</v>
      </c>
      <c r="X103" s="16">
        <v>-6026465116</v>
      </c>
    </row>
    <row r="104" spans="1:24" x14ac:dyDescent="0.45">
      <c r="A104" s="3" t="s">
        <v>69</v>
      </c>
      <c r="B104" s="3" t="s">
        <v>77</v>
      </c>
      <c r="C104" s="3" t="s">
        <v>101</v>
      </c>
      <c r="D104" s="5">
        <v>273950155</v>
      </c>
      <c r="E104" s="6">
        <v>46023</v>
      </c>
      <c r="F104" s="7">
        <v>46387</v>
      </c>
      <c r="G104" s="7">
        <f t="shared" si="6"/>
        <v>46053</v>
      </c>
      <c r="H104" s="8">
        <v>12</v>
      </c>
      <c r="I104" s="8">
        <v>-11</v>
      </c>
      <c r="J104" s="9">
        <v>1</v>
      </c>
      <c r="K104" s="3">
        <v>12</v>
      </c>
      <c r="L104" s="17">
        <f t="shared" si="5"/>
        <v>0.5</v>
      </c>
      <c r="M104" s="17">
        <v>0.1</v>
      </c>
      <c r="N104" s="17">
        <v>0.1</v>
      </c>
      <c r="O104" s="13">
        <v>7064284</v>
      </c>
      <c r="P104" s="13">
        <v>7064284</v>
      </c>
      <c r="Q104" s="13">
        <v>27395015.5</v>
      </c>
      <c r="R104" s="13">
        <v>27395015.5</v>
      </c>
      <c r="S104" s="13">
        <v>20330731.5</v>
      </c>
      <c r="T104" s="13">
        <v>0</v>
      </c>
      <c r="U104" s="14">
        <v>3.8779606680592118</v>
      </c>
      <c r="V104" s="15">
        <v>1</v>
      </c>
      <c r="W104" s="16">
        <v>70642840</v>
      </c>
      <c r="X104" s="16">
        <v>-203307315</v>
      </c>
    </row>
    <row r="105" spans="1:24" x14ac:dyDescent="0.45">
      <c r="A105" s="3" t="s">
        <v>69</v>
      </c>
      <c r="B105" s="3" t="s">
        <v>77</v>
      </c>
      <c r="C105" s="3" t="s">
        <v>101</v>
      </c>
      <c r="D105" s="5">
        <v>273950155</v>
      </c>
      <c r="E105" s="6">
        <v>46023</v>
      </c>
      <c r="F105" s="7">
        <v>46387</v>
      </c>
      <c r="G105" s="7">
        <f t="shared" si="6"/>
        <v>46081</v>
      </c>
      <c r="H105" s="8">
        <v>12</v>
      </c>
      <c r="I105" s="8">
        <v>-10</v>
      </c>
      <c r="J105" s="9">
        <v>2</v>
      </c>
      <c r="K105" s="3">
        <v>12</v>
      </c>
      <c r="L105" s="17">
        <f t="shared" si="5"/>
        <v>1</v>
      </c>
      <c r="M105" s="17">
        <v>0.15</v>
      </c>
      <c r="N105" s="17">
        <v>0.11</v>
      </c>
      <c r="O105" s="13">
        <v>208897227</v>
      </c>
      <c r="P105" s="13">
        <v>208897227</v>
      </c>
      <c r="Q105" s="13">
        <v>30134517.050000001</v>
      </c>
      <c r="R105" s="13">
        <v>41092523.25</v>
      </c>
      <c r="S105" s="13">
        <v>-178762709.94999999</v>
      </c>
      <c r="T105" s="13">
        <v>-10958006.199999999</v>
      </c>
      <c r="U105" s="14">
        <v>0.14425522771539712</v>
      </c>
      <c r="V105" s="15">
        <v>0.73333333333333339</v>
      </c>
      <c r="W105" s="16">
        <v>1899065699.9999998</v>
      </c>
      <c r="X105" s="16">
        <v>1625115544.9999998</v>
      </c>
    </row>
    <row r="106" spans="1:24" x14ac:dyDescent="0.45">
      <c r="A106" s="3" t="s">
        <v>38</v>
      </c>
      <c r="B106" s="3" t="s">
        <v>87</v>
      </c>
      <c r="C106" s="3" t="s">
        <v>103</v>
      </c>
      <c r="D106" s="5">
        <v>2873641115</v>
      </c>
      <c r="E106" s="6">
        <v>45705</v>
      </c>
      <c r="F106" s="7">
        <v>46129</v>
      </c>
      <c r="G106" s="7">
        <f t="shared" si="6"/>
        <v>45716</v>
      </c>
      <c r="H106" s="8">
        <v>14</v>
      </c>
      <c r="I106" s="8">
        <v>-13</v>
      </c>
      <c r="J106" s="9">
        <v>1</v>
      </c>
      <c r="K106" s="3">
        <v>15</v>
      </c>
      <c r="L106" s="17">
        <f t="shared" si="5"/>
        <v>9.0909090909090912E-2</v>
      </c>
      <c r="M106" s="17">
        <v>0.05</v>
      </c>
      <c r="N106" s="17">
        <v>0.05</v>
      </c>
      <c r="O106" s="13">
        <v>175941826</v>
      </c>
      <c r="P106" s="13">
        <v>175941826</v>
      </c>
      <c r="Q106" s="13">
        <v>143682055.75</v>
      </c>
      <c r="R106" s="13">
        <v>143682055.75</v>
      </c>
      <c r="S106" s="13">
        <v>-32259770.25</v>
      </c>
      <c r="T106" s="13">
        <v>0</v>
      </c>
      <c r="U106" s="14">
        <v>0.81664524585529763</v>
      </c>
      <c r="V106" s="15">
        <v>1</v>
      </c>
      <c r="W106" s="16">
        <v>3518836520</v>
      </c>
      <c r="X106" s="16">
        <v>645195405</v>
      </c>
    </row>
    <row r="107" spans="1:24" x14ac:dyDescent="0.45">
      <c r="A107" s="3" t="s">
        <v>38</v>
      </c>
      <c r="B107" s="3" t="s">
        <v>87</v>
      </c>
      <c r="C107" s="3" t="s">
        <v>103</v>
      </c>
      <c r="D107" s="5">
        <v>2873641115</v>
      </c>
      <c r="E107" s="6">
        <v>45705</v>
      </c>
      <c r="F107" s="7">
        <v>46129</v>
      </c>
      <c r="G107" s="7">
        <f t="shared" si="6"/>
        <v>45747</v>
      </c>
      <c r="H107" s="8">
        <v>14</v>
      </c>
      <c r="I107" s="8">
        <v>-12</v>
      </c>
      <c r="J107" s="9">
        <v>2</v>
      </c>
      <c r="K107" s="3">
        <v>15</v>
      </c>
      <c r="L107" s="17">
        <f t="shared" si="5"/>
        <v>0.18181818181818182</v>
      </c>
      <c r="M107" s="17">
        <v>0.1</v>
      </c>
      <c r="N107" s="17">
        <v>0.1</v>
      </c>
      <c r="O107" s="13">
        <v>175941826</v>
      </c>
      <c r="P107" s="13">
        <v>175941826</v>
      </c>
      <c r="Q107" s="13">
        <v>287364111.5</v>
      </c>
      <c r="R107" s="13">
        <v>287364111.5</v>
      </c>
      <c r="S107" s="13">
        <v>111422285.5</v>
      </c>
      <c r="T107" s="13">
        <v>0</v>
      </c>
      <c r="U107" s="14">
        <v>1.6332904917105953</v>
      </c>
      <c r="V107" s="15">
        <v>1</v>
      </c>
      <c r="W107" s="16">
        <v>1759418260</v>
      </c>
      <c r="X107" s="16">
        <v>-1114222855</v>
      </c>
    </row>
    <row r="108" spans="1:24" x14ac:dyDescent="0.45">
      <c r="A108" s="3" t="s">
        <v>38</v>
      </c>
      <c r="B108" s="3" t="s">
        <v>87</v>
      </c>
      <c r="C108" s="3" t="s">
        <v>103</v>
      </c>
      <c r="D108" s="5">
        <v>2873641115</v>
      </c>
      <c r="E108" s="6">
        <v>45705</v>
      </c>
      <c r="F108" s="7">
        <v>46129</v>
      </c>
      <c r="G108" s="7">
        <f t="shared" si="6"/>
        <v>45777</v>
      </c>
      <c r="H108" s="8">
        <v>14</v>
      </c>
      <c r="I108" s="8">
        <v>-11</v>
      </c>
      <c r="J108" s="9">
        <v>3</v>
      </c>
      <c r="K108" s="3">
        <v>15</v>
      </c>
      <c r="L108" s="17">
        <f t="shared" si="5"/>
        <v>0.27272727272727271</v>
      </c>
      <c r="M108" s="17">
        <v>0.15</v>
      </c>
      <c r="N108" s="17">
        <v>0.15</v>
      </c>
      <c r="O108" s="13">
        <v>175941826</v>
      </c>
      <c r="P108" s="13">
        <v>175941826</v>
      </c>
      <c r="Q108" s="13">
        <v>431046167.25</v>
      </c>
      <c r="R108" s="13">
        <v>431046167.25</v>
      </c>
      <c r="S108" s="13">
        <v>255104341.25</v>
      </c>
      <c r="T108" s="13">
        <v>0</v>
      </c>
      <c r="U108" s="14">
        <v>2.4499357375658928</v>
      </c>
      <c r="V108" s="15">
        <v>1</v>
      </c>
      <c r="W108" s="16">
        <v>1172945506.6666667</v>
      </c>
      <c r="X108" s="16">
        <v>-1700695608.3333333</v>
      </c>
    </row>
    <row r="109" spans="1:24" x14ac:dyDescent="0.45">
      <c r="A109" s="3" t="s">
        <v>38</v>
      </c>
      <c r="B109" s="3" t="s">
        <v>87</v>
      </c>
      <c r="C109" s="3" t="s">
        <v>103</v>
      </c>
      <c r="D109" s="5">
        <v>2873641115</v>
      </c>
      <c r="E109" s="6">
        <v>45705</v>
      </c>
      <c r="F109" s="7">
        <v>46129</v>
      </c>
      <c r="G109" s="7">
        <f t="shared" si="6"/>
        <v>45808</v>
      </c>
      <c r="H109" s="8">
        <v>14</v>
      </c>
      <c r="I109" s="8">
        <v>-10</v>
      </c>
      <c r="J109" s="9">
        <v>4</v>
      </c>
      <c r="K109" s="3">
        <v>15</v>
      </c>
      <c r="L109" s="17">
        <f t="shared" si="5"/>
        <v>0.36363636363636365</v>
      </c>
      <c r="M109" s="17">
        <v>0.3</v>
      </c>
      <c r="N109" s="17">
        <v>0.3</v>
      </c>
      <c r="O109" s="13">
        <v>175941826</v>
      </c>
      <c r="P109" s="13">
        <v>175941826</v>
      </c>
      <c r="Q109" s="13">
        <v>862092334.5</v>
      </c>
      <c r="R109" s="13">
        <v>862092334.5</v>
      </c>
      <c r="S109" s="13">
        <v>686150508.5</v>
      </c>
      <c r="T109" s="13">
        <v>0</v>
      </c>
      <c r="U109" s="14">
        <v>4.8998714751317856</v>
      </c>
      <c r="V109" s="15">
        <v>1</v>
      </c>
      <c r="W109" s="16">
        <v>586472753.33333337</v>
      </c>
      <c r="X109" s="16">
        <v>-2287168361.6666665</v>
      </c>
    </row>
    <row r="110" spans="1:24" x14ac:dyDescent="0.45">
      <c r="A110" s="3" t="s">
        <v>38</v>
      </c>
      <c r="B110" s="3" t="s">
        <v>87</v>
      </c>
      <c r="C110" s="3" t="s">
        <v>103</v>
      </c>
      <c r="D110" s="5">
        <v>2873641115</v>
      </c>
      <c r="E110" s="6">
        <v>45705</v>
      </c>
      <c r="F110" s="7">
        <v>46129</v>
      </c>
      <c r="G110" s="7">
        <f t="shared" si="6"/>
        <v>45838</v>
      </c>
      <c r="H110" s="8">
        <v>14</v>
      </c>
      <c r="I110" s="8">
        <v>-9</v>
      </c>
      <c r="J110" s="9">
        <v>5</v>
      </c>
      <c r="K110" s="3">
        <v>15</v>
      </c>
      <c r="L110" s="17">
        <f t="shared" si="5"/>
        <v>0.45454545454545453</v>
      </c>
      <c r="M110" s="17">
        <v>0.36666666666666697</v>
      </c>
      <c r="N110" s="17">
        <v>0.36666666666666697</v>
      </c>
      <c r="O110" s="13">
        <v>175941826</v>
      </c>
      <c r="P110" s="13">
        <v>175941826</v>
      </c>
      <c r="Q110" s="13">
        <v>1053668408.8333342</v>
      </c>
      <c r="R110" s="13">
        <v>1053668408.8333342</v>
      </c>
      <c r="S110" s="13">
        <v>877726582.83333421</v>
      </c>
      <c r="T110" s="13">
        <v>0</v>
      </c>
      <c r="U110" s="14">
        <v>5.9887318029388545</v>
      </c>
      <c r="V110" s="15">
        <v>1</v>
      </c>
      <c r="W110" s="16">
        <v>479841343.63636321</v>
      </c>
      <c r="X110" s="16">
        <v>-2393799771.363637</v>
      </c>
    </row>
    <row r="111" spans="1:24" x14ac:dyDescent="0.45">
      <c r="A111" s="3" t="s">
        <v>38</v>
      </c>
      <c r="B111" s="3" t="s">
        <v>87</v>
      </c>
      <c r="C111" s="3" t="s">
        <v>103</v>
      </c>
      <c r="D111" s="5">
        <v>2873641115</v>
      </c>
      <c r="E111" s="6">
        <v>45705</v>
      </c>
      <c r="F111" s="7">
        <v>46129</v>
      </c>
      <c r="G111" s="7">
        <f t="shared" si="6"/>
        <v>45869</v>
      </c>
      <c r="H111" s="8">
        <v>14</v>
      </c>
      <c r="I111" s="8">
        <v>-8</v>
      </c>
      <c r="J111" s="9">
        <v>6</v>
      </c>
      <c r="K111" s="3">
        <v>15</v>
      </c>
      <c r="L111" s="17">
        <f t="shared" si="5"/>
        <v>0.54545454545454541</v>
      </c>
      <c r="M111" s="17">
        <v>0.44166666666666698</v>
      </c>
      <c r="N111" s="17">
        <v>0.44166666666666698</v>
      </c>
      <c r="O111" s="13">
        <v>175941826</v>
      </c>
      <c r="P111" s="13">
        <v>175941826</v>
      </c>
      <c r="Q111" s="13">
        <v>1269191492.4583342</v>
      </c>
      <c r="R111" s="13">
        <v>1269191492.4583342</v>
      </c>
      <c r="S111" s="13">
        <v>1093249666.4583342</v>
      </c>
      <c r="T111" s="13">
        <v>0</v>
      </c>
      <c r="U111" s="14">
        <v>7.2136996717218009</v>
      </c>
      <c r="V111" s="15">
        <v>1</v>
      </c>
      <c r="W111" s="16">
        <v>398358851.32075447</v>
      </c>
      <c r="X111" s="16">
        <v>-2475282263.6792455</v>
      </c>
    </row>
    <row r="112" spans="1:24" x14ac:dyDescent="0.45">
      <c r="A112" s="3" t="s">
        <v>38</v>
      </c>
      <c r="B112" s="3" t="s">
        <v>87</v>
      </c>
      <c r="C112" s="3" t="s">
        <v>103</v>
      </c>
      <c r="D112" s="5">
        <v>2873641115</v>
      </c>
      <c r="E112" s="6">
        <v>45705</v>
      </c>
      <c r="F112" s="7">
        <v>46129</v>
      </c>
      <c r="G112" s="7">
        <f t="shared" si="6"/>
        <v>45900</v>
      </c>
      <c r="H112" s="8">
        <v>14</v>
      </c>
      <c r="I112" s="8">
        <v>-7</v>
      </c>
      <c r="J112" s="9">
        <v>7</v>
      </c>
      <c r="K112" s="3">
        <v>15</v>
      </c>
      <c r="L112" s="17">
        <f t="shared" si="5"/>
        <v>0.63636363636363635</v>
      </c>
      <c r="M112" s="17">
        <v>0.59166666666666701</v>
      </c>
      <c r="N112" s="17">
        <v>0.59166666666666701</v>
      </c>
      <c r="O112" s="13">
        <v>175941826</v>
      </c>
      <c r="P112" s="13">
        <v>175941826</v>
      </c>
      <c r="Q112" s="13">
        <v>1700237659.7083342</v>
      </c>
      <c r="R112" s="13">
        <v>1700237659.7083342</v>
      </c>
      <c r="S112" s="13">
        <v>1524295833.7083342</v>
      </c>
      <c r="T112" s="13">
        <v>0</v>
      </c>
      <c r="U112" s="14">
        <v>9.6636354092876946</v>
      </c>
      <c r="V112" s="15">
        <v>1</v>
      </c>
      <c r="W112" s="16">
        <v>297366466.47887307</v>
      </c>
      <c r="X112" s="16">
        <v>-2576274648.5211267</v>
      </c>
    </row>
    <row r="113" spans="1:24" x14ac:dyDescent="0.45">
      <c r="A113" s="3" t="s">
        <v>38</v>
      </c>
      <c r="B113" s="3" t="s">
        <v>87</v>
      </c>
      <c r="C113" s="3" t="s">
        <v>103</v>
      </c>
      <c r="D113" s="5">
        <v>2873641115</v>
      </c>
      <c r="E113" s="6">
        <v>45705</v>
      </c>
      <c r="F113" s="7">
        <v>46129</v>
      </c>
      <c r="G113" s="7">
        <f t="shared" si="6"/>
        <v>45930</v>
      </c>
      <c r="H113" s="8">
        <v>14</v>
      </c>
      <c r="I113" s="8">
        <v>-6</v>
      </c>
      <c r="J113" s="9">
        <v>8</v>
      </c>
      <c r="K113" s="3">
        <v>15</v>
      </c>
      <c r="L113" s="17">
        <f t="shared" si="5"/>
        <v>0.72727272727272729</v>
      </c>
      <c r="M113" s="17">
        <v>0.66666666666666696</v>
      </c>
      <c r="N113" s="17">
        <v>0.66666666666666696</v>
      </c>
      <c r="O113" s="13">
        <v>175941826</v>
      </c>
      <c r="P113" s="13">
        <v>175941826</v>
      </c>
      <c r="Q113" s="13">
        <v>1915760743.3333342</v>
      </c>
      <c r="R113" s="13">
        <v>1915760743.3333342</v>
      </c>
      <c r="S113" s="13">
        <v>1739818917.3333342</v>
      </c>
      <c r="T113" s="13">
        <v>0</v>
      </c>
      <c r="U113" s="14">
        <v>10.88860327807064</v>
      </c>
      <c r="V113" s="15">
        <v>1</v>
      </c>
      <c r="W113" s="16">
        <v>263912738.99999988</v>
      </c>
      <c r="X113" s="16">
        <v>-2609728376</v>
      </c>
    </row>
    <row r="114" spans="1:24" x14ac:dyDescent="0.45">
      <c r="A114" s="3" t="s">
        <v>38</v>
      </c>
      <c r="B114" s="3" t="s">
        <v>87</v>
      </c>
      <c r="C114" s="3" t="s">
        <v>103</v>
      </c>
      <c r="D114" s="5">
        <v>2873641115</v>
      </c>
      <c r="E114" s="6">
        <v>45705</v>
      </c>
      <c r="F114" s="7">
        <v>46129</v>
      </c>
      <c r="G114" s="7">
        <f t="shared" si="6"/>
        <v>45961</v>
      </c>
      <c r="H114" s="8">
        <v>14</v>
      </c>
      <c r="I114" s="8">
        <v>-5</v>
      </c>
      <c r="J114" s="9">
        <v>9</v>
      </c>
      <c r="K114" s="3">
        <v>15</v>
      </c>
      <c r="L114" s="17">
        <f t="shared" si="5"/>
        <v>0.81818181818181823</v>
      </c>
      <c r="M114" s="17">
        <v>0.74166666666666703</v>
      </c>
      <c r="N114" s="17">
        <v>0.74166666666666703</v>
      </c>
      <c r="O114" s="13">
        <v>175941826</v>
      </c>
      <c r="P114" s="13">
        <v>175941826</v>
      </c>
      <c r="Q114" s="13">
        <v>2131283826.9583344</v>
      </c>
      <c r="R114" s="13">
        <v>2131283826.9583344</v>
      </c>
      <c r="S114" s="13">
        <v>1955342000.9583344</v>
      </c>
      <c r="T114" s="13">
        <v>0</v>
      </c>
      <c r="U114" s="14">
        <v>12.113571146853587</v>
      </c>
      <c r="V114" s="15">
        <v>1</v>
      </c>
      <c r="W114" s="16">
        <v>237224933.93258417</v>
      </c>
      <c r="X114" s="16">
        <v>-2636416181.0674157</v>
      </c>
    </row>
    <row r="115" spans="1:24" x14ac:dyDescent="0.45">
      <c r="A115" s="3" t="s">
        <v>38</v>
      </c>
      <c r="B115" s="3" t="s">
        <v>87</v>
      </c>
      <c r="C115" s="3" t="s">
        <v>103</v>
      </c>
      <c r="D115" s="5">
        <v>2873641115</v>
      </c>
      <c r="E115" s="6">
        <v>45705</v>
      </c>
      <c r="F115" s="7">
        <v>46129</v>
      </c>
      <c r="G115" s="7">
        <f t="shared" si="6"/>
        <v>45991</v>
      </c>
      <c r="H115" s="8">
        <v>14</v>
      </c>
      <c r="I115" s="8">
        <v>-4</v>
      </c>
      <c r="J115" s="9">
        <v>10</v>
      </c>
      <c r="K115" s="3">
        <v>15</v>
      </c>
      <c r="L115" s="17">
        <f t="shared" si="5"/>
        <v>0.90909090909090906</v>
      </c>
      <c r="M115" s="17">
        <v>0.89166666666666705</v>
      </c>
      <c r="N115" s="17">
        <v>0.89166666666666705</v>
      </c>
      <c r="O115" s="13">
        <v>176057823</v>
      </c>
      <c r="P115" s="13">
        <v>176057823</v>
      </c>
      <c r="Q115" s="13">
        <v>2562329994.2083344</v>
      </c>
      <c r="R115" s="13">
        <v>2562329994.2083344</v>
      </c>
      <c r="S115" s="13">
        <v>2386272171.2083344</v>
      </c>
      <c r="T115" s="13">
        <v>0</v>
      </c>
      <c r="U115" s="14">
        <v>14.553911610098316</v>
      </c>
      <c r="V115" s="15">
        <v>1</v>
      </c>
      <c r="W115" s="16">
        <v>197448025.79439244</v>
      </c>
      <c r="X115" s="16">
        <v>-2676193089.2056074</v>
      </c>
    </row>
    <row r="116" spans="1:24" x14ac:dyDescent="0.45">
      <c r="A116" s="3" t="s">
        <v>38</v>
      </c>
      <c r="B116" s="3" t="s">
        <v>87</v>
      </c>
      <c r="C116" s="3" t="s">
        <v>103</v>
      </c>
      <c r="D116" s="5">
        <v>2873641115</v>
      </c>
      <c r="E116" s="6">
        <v>45705</v>
      </c>
      <c r="F116" s="7">
        <v>46129</v>
      </c>
      <c r="G116" s="7">
        <f t="shared" si="6"/>
        <v>46022</v>
      </c>
      <c r="H116" s="8">
        <v>14</v>
      </c>
      <c r="I116" s="8">
        <v>-3</v>
      </c>
      <c r="J116" s="9">
        <v>11</v>
      </c>
      <c r="K116" s="3">
        <v>15</v>
      </c>
      <c r="L116" s="17">
        <f t="shared" si="5"/>
        <v>1</v>
      </c>
      <c r="M116" s="17">
        <v>0.96666666666666701</v>
      </c>
      <c r="N116" s="17">
        <v>1</v>
      </c>
      <c r="O116" s="13">
        <v>0</v>
      </c>
      <c r="P116" s="13">
        <v>0</v>
      </c>
      <c r="Q116" s="13">
        <v>0</v>
      </c>
      <c r="R116" s="13">
        <v>2777853077.8333344</v>
      </c>
      <c r="S116" s="13">
        <v>0</v>
      </c>
      <c r="T116" s="13">
        <v>-2777853077.8333344</v>
      </c>
      <c r="U116" s="40">
        <v>1</v>
      </c>
      <c r="V116" s="15">
        <v>0</v>
      </c>
      <c r="W116" s="16">
        <v>0</v>
      </c>
      <c r="X116" s="16">
        <v>-2873641115</v>
      </c>
    </row>
    <row r="117" spans="1:24" x14ac:dyDescent="0.45">
      <c r="A117" s="3" t="s">
        <v>126</v>
      </c>
      <c r="B117" s="3" t="s">
        <v>87</v>
      </c>
      <c r="C117" s="3" t="s">
        <v>103</v>
      </c>
      <c r="D117" s="5">
        <v>2873641115</v>
      </c>
      <c r="E117" s="6">
        <v>46008</v>
      </c>
      <c r="F117" s="7">
        <v>46129</v>
      </c>
      <c r="G117" s="7">
        <f t="shared" si="6"/>
        <v>46022</v>
      </c>
      <c r="H117" s="8">
        <v>14</v>
      </c>
      <c r="I117" s="8">
        <v>-2</v>
      </c>
      <c r="J117" s="9">
        <v>1</v>
      </c>
      <c r="K117" s="3">
        <v>15</v>
      </c>
      <c r="L117" s="17">
        <f t="shared" si="5"/>
        <v>0.25</v>
      </c>
      <c r="M117" s="17">
        <v>0.2</v>
      </c>
      <c r="N117" s="17">
        <v>0.2</v>
      </c>
      <c r="O117" s="13">
        <v>175941826</v>
      </c>
      <c r="P117" s="13">
        <v>175941826</v>
      </c>
      <c r="Q117" s="13">
        <v>574728223</v>
      </c>
      <c r="R117" s="13">
        <v>574728223</v>
      </c>
      <c r="S117" s="13">
        <v>398786397</v>
      </c>
      <c r="T117" s="13">
        <v>0</v>
      </c>
      <c r="U117" s="14">
        <v>3.2665809834211905</v>
      </c>
      <c r="V117" s="15">
        <v>1</v>
      </c>
      <c r="W117" s="16">
        <v>879709130</v>
      </c>
      <c r="X117" s="16">
        <v>-1993931985</v>
      </c>
    </row>
    <row r="118" spans="1:24" x14ac:dyDescent="0.45">
      <c r="A118" s="3" t="s">
        <v>126</v>
      </c>
      <c r="B118" s="3" t="s">
        <v>87</v>
      </c>
      <c r="C118" s="3" t="s">
        <v>103</v>
      </c>
      <c r="D118" s="5">
        <v>2873641115</v>
      </c>
      <c r="E118" s="6">
        <v>46008</v>
      </c>
      <c r="F118" s="7">
        <v>46129</v>
      </c>
      <c r="G118" s="7">
        <f t="shared" si="6"/>
        <v>46053</v>
      </c>
      <c r="H118" s="8">
        <v>14</v>
      </c>
      <c r="I118" s="8">
        <v>-2</v>
      </c>
      <c r="J118" s="9">
        <v>2</v>
      </c>
      <c r="K118" s="3">
        <v>15</v>
      </c>
      <c r="L118" s="17">
        <f t="shared" si="5"/>
        <v>0.5</v>
      </c>
      <c r="M118" s="17">
        <v>0.51666666666666705</v>
      </c>
      <c r="N118" s="17">
        <v>0.51666666666666705</v>
      </c>
      <c r="O118" s="13">
        <v>175941826</v>
      </c>
      <c r="P118" s="13">
        <v>175941826</v>
      </c>
      <c r="Q118" s="13">
        <v>1484714576.0833344</v>
      </c>
      <c r="R118" s="13">
        <v>1484714576.0833344</v>
      </c>
      <c r="S118" s="13">
        <v>1308772750.0833344</v>
      </c>
      <c r="T118" s="13">
        <v>0</v>
      </c>
      <c r="U118" s="14">
        <v>8.4386675405047491</v>
      </c>
      <c r="V118" s="15">
        <v>1</v>
      </c>
      <c r="W118" s="16">
        <v>340532566.45161265</v>
      </c>
      <c r="X118" s="16">
        <v>-2533108548.5483875</v>
      </c>
    </row>
    <row r="119" spans="1:24" x14ac:dyDescent="0.45">
      <c r="A119" s="3" t="s">
        <v>126</v>
      </c>
      <c r="B119" s="3" t="s">
        <v>87</v>
      </c>
      <c r="C119" s="3" t="s">
        <v>103</v>
      </c>
      <c r="D119" s="5">
        <v>2873641115</v>
      </c>
      <c r="E119" s="6">
        <v>46008</v>
      </c>
      <c r="F119" s="7">
        <v>46129</v>
      </c>
      <c r="G119" s="7">
        <f t="shared" si="6"/>
        <v>46081</v>
      </c>
      <c r="H119" s="8">
        <v>14</v>
      </c>
      <c r="I119" s="8">
        <v>-2</v>
      </c>
      <c r="J119" s="9">
        <v>3</v>
      </c>
      <c r="K119" s="3">
        <v>15</v>
      </c>
      <c r="L119" s="17">
        <f t="shared" si="5"/>
        <v>0.75</v>
      </c>
      <c r="M119" s="17">
        <v>0.81666666666666698</v>
      </c>
      <c r="N119" s="17">
        <v>0.81666666666666698</v>
      </c>
      <c r="O119" s="13">
        <v>175941826</v>
      </c>
      <c r="P119" s="13">
        <v>175941826</v>
      </c>
      <c r="Q119" s="13">
        <v>2346806910.5833344</v>
      </c>
      <c r="R119" s="13">
        <v>2346806910.5833344</v>
      </c>
      <c r="S119" s="13">
        <v>2170865084.5833344</v>
      </c>
      <c r="T119" s="13">
        <v>0</v>
      </c>
      <c r="U119" s="14">
        <v>13.338539015636535</v>
      </c>
      <c r="V119" s="15">
        <v>1</v>
      </c>
      <c r="W119" s="16">
        <v>215438970.61224478</v>
      </c>
      <c r="X119" s="16">
        <v>-2658202144.3877554</v>
      </c>
    </row>
    <row r="120" spans="1:24" x14ac:dyDescent="0.45">
      <c r="A120" s="3" t="s">
        <v>126</v>
      </c>
      <c r="B120" s="3" t="s">
        <v>87</v>
      </c>
      <c r="C120" s="3" t="s">
        <v>103</v>
      </c>
      <c r="D120" s="5">
        <v>2873641115</v>
      </c>
      <c r="E120" s="6">
        <v>46008</v>
      </c>
      <c r="F120" s="7">
        <v>46129</v>
      </c>
      <c r="G120" s="7">
        <f t="shared" si="6"/>
        <v>46112</v>
      </c>
      <c r="H120" s="8">
        <v>14</v>
      </c>
      <c r="I120" s="8">
        <v>-2</v>
      </c>
      <c r="J120" s="9">
        <v>4</v>
      </c>
      <c r="K120" s="3">
        <v>15</v>
      </c>
      <c r="L120" s="17">
        <f t="shared" si="5"/>
        <v>1</v>
      </c>
      <c r="M120" s="17">
        <v>1</v>
      </c>
      <c r="N120" s="17">
        <v>1</v>
      </c>
      <c r="O120" s="13">
        <v>0</v>
      </c>
      <c r="P120" s="13">
        <v>0</v>
      </c>
      <c r="Q120" s="13">
        <v>0</v>
      </c>
      <c r="R120" s="13">
        <v>2873641115</v>
      </c>
      <c r="S120" s="13">
        <v>0</v>
      </c>
      <c r="T120" s="13">
        <v>-2873641115</v>
      </c>
      <c r="U120" s="40">
        <v>1</v>
      </c>
      <c r="V120" s="15">
        <v>0</v>
      </c>
      <c r="W120" s="16">
        <v>0</v>
      </c>
      <c r="X120" s="16">
        <v>-2873641115</v>
      </c>
    </row>
    <row r="121" spans="1:24" x14ac:dyDescent="0.45">
      <c r="A121" s="3" t="s">
        <v>18</v>
      </c>
      <c r="B121" s="3" t="s">
        <v>85</v>
      </c>
      <c r="C121" s="3" t="s">
        <v>103</v>
      </c>
      <c r="D121" s="5">
        <v>234252949</v>
      </c>
      <c r="E121" s="6">
        <v>45456</v>
      </c>
      <c r="F121" s="7">
        <v>45503</v>
      </c>
      <c r="G121" s="7">
        <f t="shared" si="6"/>
        <v>45473</v>
      </c>
      <c r="H121" s="8">
        <v>1.57</v>
      </c>
      <c r="I121" s="8">
        <v>-0.57000000000000006</v>
      </c>
      <c r="J121" s="9">
        <v>1</v>
      </c>
      <c r="K121" s="3">
        <v>2</v>
      </c>
      <c r="L121" s="17">
        <f t="shared" si="5"/>
        <v>0.25</v>
      </c>
      <c r="M121" s="17">
        <v>0.5</v>
      </c>
      <c r="N121" s="17">
        <v>0.25</v>
      </c>
      <c r="O121" s="13">
        <v>96976475</v>
      </c>
      <c r="P121" s="13">
        <v>96976475</v>
      </c>
      <c r="Q121" s="13">
        <v>58563237.25</v>
      </c>
      <c r="R121" s="13">
        <v>117126474.5</v>
      </c>
      <c r="S121" s="13">
        <v>-38413237.75</v>
      </c>
      <c r="T121" s="13">
        <v>-58563237.25</v>
      </c>
      <c r="U121" s="14">
        <v>0.60389117309120588</v>
      </c>
      <c r="V121" s="15">
        <v>0.5</v>
      </c>
      <c r="W121" s="16">
        <v>387905900</v>
      </c>
      <c r="X121" s="16">
        <v>153652951</v>
      </c>
    </row>
    <row r="122" spans="1:24" x14ac:dyDescent="0.45">
      <c r="A122" s="3" t="s">
        <v>18</v>
      </c>
      <c r="B122" s="3" t="s">
        <v>85</v>
      </c>
      <c r="C122" s="3" t="s">
        <v>103</v>
      </c>
      <c r="D122" s="5">
        <v>234252949</v>
      </c>
      <c r="E122" s="6">
        <v>45456</v>
      </c>
      <c r="F122" s="7">
        <v>45503</v>
      </c>
      <c r="G122" s="7">
        <f t="shared" si="6"/>
        <v>45504</v>
      </c>
      <c r="H122" s="8">
        <v>1.57</v>
      </c>
      <c r="I122" s="8">
        <v>0.42999999999999994</v>
      </c>
      <c r="J122" s="9">
        <v>2</v>
      </c>
      <c r="K122" s="3">
        <v>2</v>
      </c>
      <c r="L122" s="17">
        <f t="shared" si="5"/>
        <v>0.5</v>
      </c>
      <c r="M122" s="17">
        <v>1</v>
      </c>
      <c r="N122" s="17">
        <v>0.5</v>
      </c>
      <c r="O122" s="13">
        <v>96976475</v>
      </c>
      <c r="P122" s="13">
        <v>96976475</v>
      </c>
      <c r="Q122" s="13">
        <v>117126474.5</v>
      </c>
      <c r="R122" s="13">
        <v>234252949</v>
      </c>
      <c r="S122" s="13">
        <v>20149999.5</v>
      </c>
      <c r="T122" s="13">
        <v>-117126474.5</v>
      </c>
      <c r="U122" s="14">
        <v>1.2077823461824118</v>
      </c>
      <c r="V122" s="15">
        <v>0.5</v>
      </c>
      <c r="W122" s="16">
        <v>193952950</v>
      </c>
      <c r="X122" s="16">
        <v>-40299999</v>
      </c>
    </row>
    <row r="123" spans="1:24" x14ac:dyDescent="0.45">
      <c r="A123" s="3" t="s">
        <v>18</v>
      </c>
      <c r="B123" s="3" t="s">
        <v>85</v>
      </c>
      <c r="C123" s="3" t="s">
        <v>103</v>
      </c>
      <c r="D123" s="5">
        <v>234252949</v>
      </c>
      <c r="E123" s="6">
        <v>45456</v>
      </c>
      <c r="F123" s="7">
        <v>45503</v>
      </c>
      <c r="G123" s="7">
        <f t="shared" si="6"/>
        <v>45535</v>
      </c>
      <c r="H123" s="8">
        <v>1.57</v>
      </c>
      <c r="I123" s="8">
        <v>1.43</v>
      </c>
      <c r="J123" s="9">
        <v>3</v>
      </c>
      <c r="K123" s="3">
        <v>2</v>
      </c>
      <c r="L123" s="17">
        <f t="shared" si="5"/>
        <v>0.75</v>
      </c>
      <c r="M123" s="17">
        <v>1</v>
      </c>
      <c r="N123" s="17">
        <v>0.75</v>
      </c>
      <c r="O123" s="13">
        <v>0</v>
      </c>
      <c r="P123" s="13">
        <v>0</v>
      </c>
      <c r="Q123" s="13">
        <v>175689711.75</v>
      </c>
      <c r="R123" s="13">
        <v>234252949</v>
      </c>
      <c r="S123" s="13">
        <v>175689711.75</v>
      </c>
      <c r="T123" s="13">
        <v>-58563237.25</v>
      </c>
      <c r="U123" s="40">
        <v>1</v>
      </c>
      <c r="V123" s="15">
        <v>0.75</v>
      </c>
      <c r="W123" s="16">
        <v>0</v>
      </c>
      <c r="X123" s="16">
        <v>-234252949</v>
      </c>
    </row>
    <row r="124" spans="1:24" x14ac:dyDescent="0.45">
      <c r="A124" s="3" t="s">
        <v>18</v>
      </c>
      <c r="B124" s="3" t="s">
        <v>85</v>
      </c>
      <c r="C124" s="3" t="s">
        <v>103</v>
      </c>
      <c r="D124" s="5">
        <v>234252949</v>
      </c>
      <c r="E124" s="6">
        <v>45456</v>
      </c>
      <c r="F124" s="7">
        <v>45503</v>
      </c>
      <c r="G124" s="7">
        <f t="shared" si="6"/>
        <v>45565</v>
      </c>
      <c r="H124" s="8">
        <v>1.57</v>
      </c>
      <c r="I124" s="8">
        <v>2.4299999999999997</v>
      </c>
      <c r="J124" s="9">
        <v>4</v>
      </c>
      <c r="K124" s="3">
        <v>2</v>
      </c>
      <c r="L124" s="17">
        <f t="shared" si="5"/>
        <v>1</v>
      </c>
      <c r="M124" s="17">
        <v>1</v>
      </c>
      <c r="N124" s="17">
        <v>1</v>
      </c>
      <c r="O124" s="13">
        <v>40300000</v>
      </c>
      <c r="P124" s="13">
        <v>40300000</v>
      </c>
      <c r="Q124" s="13">
        <v>234252949</v>
      </c>
      <c r="R124" s="13">
        <v>234252949</v>
      </c>
      <c r="S124" s="13">
        <v>193952949</v>
      </c>
      <c r="T124" s="13">
        <v>0</v>
      </c>
      <c r="U124" s="14">
        <v>5.812728263027295</v>
      </c>
      <c r="V124" s="15">
        <v>1</v>
      </c>
      <c r="W124" s="16">
        <v>40300000</v>
      </c>
      <c r="X124" s="16">
        <v>-193952949</v>
      </c>
    </row>
    <row r="125" spans="1:24" x14ac:dyDescent="0.45">
      <c r="A125" s="3" t="s">
        <v>13</v>
      </c>
      <c r="B125" s="3" t="s">
        <v>78</v>
      </c>
      <c r="C125" s="3" t="s">
        <v>101</v>
      </c>
      <c r="D125" s="5">
        <v>830180856</v>
      </c>
      <c r="E125" s="6">
        <v>45414</v>
      </c>
      <c r="F125" s="7">
        <v>45596</v>
      </c>
      <c r="G125" s="7">
        <f t="shared" si="6"/>
        <v>45443</v>
      </c>
      <c r="H125" s="8">
        <v>5.97</v>
      </c>
      <c r="I125" s="8">
        <v>16.03</v>
      </c>
      <c r="J125" s="9">
        <v>1</v>
      </c>
      <c r="K125" s="3">
        <v>6</v>
      </c>
      <c r="L125" s="17">
        <f t="shared" si="5"/>
        <v>0.16666666666666666</v>
      </c>
      <c r="M125" s="17">
        <v>0.2</v>
      </c>
      <c r="N125" s="17">
        <v>0.15</v>
      </c>
      <c r="O125" s="13">
        <v>311082365</v>
      </c>
      <c r="P125" s="13">
        <v>311082365</v>
      </c>
      <c r="Q125" s="13">
        <v>124527128.39999999</v>
      </c>
      <c r="R125" s="13">
        <v>166036171.20000002</v>
      </c>
      <c r="S125" s="13">
        <v>-186555236.60000002</v>
      </c>
      <c r="T125" s="13">
        <v>-41509042.800000027</v>
      </c>
      <c r="U125" s="14">
        <v>0.40030275711707408</v>
      </c>
      <c r="V125" s="15">
        <v>0.74999999999999989</v>
      </c>
      <c r="W125" s="16">
        <v>2073882433.3333335</v>
      </c>
      <c r="X125" s="16">
        <v>1243701577.3333335</v>
      </c>
    </row>
    <row r="126" spans="1:24" x14ac:dyDescent="0.45">
      <c r="A126" s="3" t="s">
        <v>13</v>
      </c>
      <c r="B126" s="3" t="s">
        <v>78</v>
      </c>
      <c r="C126" s="3" t="s">
        <v>101</v>
      </c>
      <c r="D126" s="5">
        <v>830180856</v>
      </c>
      <c r="E126" s="6">
        <v>45414</v>
      </c>
      <c r="F126" s="7">
        <v>45596</v>
      </c>
      <c r="G126" s="7">
        <f t="shared" si="6"/>
        <v>45473</v>
      </c>
      <c r="H126" s="8">
        <v>5.97</v>
      </c>
      <c r="I126" s="8">
        <v>16.03</v>
      </c>
      <c r="J126" s="9">
        <v>2</v>
      </c>
      <c r="K126" s="3">
        <v>6</v>
      </c>
      <c r="L126" s="17">
        <f t="shared" si="5"/>
        <v>0.33333333333333331</v>
      </c>
      <c r="M126" s="17">
        <v>0.4</v>
      </c>
      <c r="N126" s="17">
        <v>0.35</v>
      </c>
      <c r="O126" s="13">
        <v>0</v>
      </c>
      <c r="P126" s="13">
        <v>0</v>
      </c>
      <c r="Q126" s="13">
        <v>290563299.59999996</v>
      </c>
      <c r="R126" s="13">
        <v>332072342.40000004</v>
      </c>
      <c r="S126" s="13">
        <v>290563299.59999996</v>
      </c>
      <c r="T126" s="13">
        <v>-41509042.800000072</v>
      </c>
      <c r="U126" s="40">
        <v>1</v>
      </c>
      <c r="V126" s="15">
        <v>0.87499999999999978</v>
      </c>
      <c r="W126" s="16">
        <v>0</v>
      </c>
      <c r="X126" s="16">
        <v>-830180856</v>
      </c>
    </row>
    <row r="127" spans="1:24" x14ac:dyDescent="0.45">
      <c r="A127" s="3" t="s">
        <v>13</v>
      </c>
      <c r="B127" s="3" t="s">
        <v>78</v>
      </c>
      <c r="C127" s="3" t="s">
        <v>101</v>
      </c>
      <c r="D127" s="5">
        <v>830180856</v>
      </c>
      <c r="E127" s="6">
        <v>45414</v>
      </c>
      <c r="F127" s="7">
        <v>45596</v>
      </c>
      <c r="G127" s="7">
        <f t="shared" si="6"/>
        <v>45504</v>
      </c>
      <c r="H127" s="8">
        <v>5.97</v>
      </c>
      <c r="I127" s="8">
        <v>16.03</v>
      </c>
      <c r="J127" s="9">
        <v>3</v>
      </c>
      <c r="K127" s="3">
        <v>6</v>
      </c>
      <c r="L127" s="17">
        <f t="shared" si="5"/>
        <v>0.5</v>
      </c>
      <c r="M127" s="17">
        <v>0.6</v>
      </c>
      <c r="N127" s="17">
        <v>0.56000000000000005</v>
      </c>
      <c r="O127" s="13">
        <v>0</v>
      </c>
      <c r="P127" s="13">
        <v>0</v>
      </c>
      <c r="Q127" s="13">
        <v>464901279.36000007</v>
      </c>
      <c r="R127" s="13">
        <v>498108513.59999996</v>
      </c>
      <c r="S127" s="13">
        <v>464901279.36000007</v>
      </c>
      <c r="T127" s="13">
        <v>-33207234.23999989</v>
      </c>
      <c r="U127" s="40">
        <v>1</v>
      </c>
      <c r="V127" s="15">
        <v>0.93333333333333357</v>
      </c>
      <c r="W127" s="16">
        <v>0</v>
      </c>
      <c r="X127" s="16">
        <v>-830180856</v>
      </c>
    </row>
    <row r="128" spans="1:24" x14ac:dyDescent="0.45">
      <c r="A128" s="3" t="s">
        <v>13</v>
      </c>
      <c r="B128" s="3" t="s">
        <v>78</v>
      </c>
      <c r="C128" s="3" t="s">
        <v>101</v>
      </c>
      <c r="D128" s="5">
        <v>830180856</v>
      </c>
      <c r="E128" s="6">
        <v>45414</v>
      </c>
      <c r="F128" s="7">
        <v>45596</v>
      </c>
      <c r="G128" s="7">
        <f t="shared" si="6"/>
        <v>45535</v>
      </c>
      <c r="H128" s="8">
        <v>5.97</v>
      </c>
      <c r="I128" s="8">
        <v>16.03</v>
      </c>
      <c r="J128" s="9">
        <v>4</v>
      </c>
      <c r="K128" s="3">
        <v>6</v>
      </c>
      <c r="L128" s="17">
        <f t="shared" si="5"/>
        <v>0.66666666666666663</v>
      </c>
      <c r="M128" s="17">
        <v>0.8</v>
      </c>
      <c r="N128" s="17">
        <v>0.67</v>
      </c>
      <c r="O128" s="13">
        <v>0</v>
      </c>
      <c r="P128" s="13">
        <v>0</v>
      </c>
      <c r="Q128" s="13">
        <v>556221173.51999998</v>
      </c>
      <c r="R128" s="13">
        <v>664144684.80000007</v>
      </c>
      <c r="S128" s="13">
        <v>556221173.51999998</v>
      </c>
      <c r="T128" s="13">
        <v>-107923511.28000009</v>
      </c>
      <c r="U128" s="40">
        <v>1</v>
      </c>
      <c r="V128" s="15">
        <v>0.83749999999999991</v>
      </c>
      <c r="W128" s="16">
        <v>0</v>
      </c>
      <c r="X128" s="16">
        <v>-830180856</v>
      </c>
    </row>
    <row r="129" spans="1:24" x14ac:dyDescent="0.45">
      <c r="A129" s="3" t="s">
        <v>13</v>
      </c>
      <c r="B129" s="3" t="s">
        <v>78</v>
      </c>
      <c r="C129" s="3" t="s">
        <v>101</v>
      </c>
      <c r="D129" s="5">
        <v>830180856</v>
      </c>
      <c r="E129" s="6">
        <v>45414</v>
      </c>
      <c r="F129" s="7">
        <v>45596</v>
      </c>
      <c r="G129" s="7">
        <f t="shared" si="6"/>
        <v>45565</v>
      </c>
      <c r="H129" s="8">
        <v>5.97</v>
      </c>
      <c r="I129" s="8">
        <v>16.03</v>
      </c>
      <c r="J129" s="9">
        <v>5</v>
      </c>
      <c r="K129" s="3">
        <v>6</v>
      </c>
      <c r="L129" s="17">
        <f t="shared" si="5"/>
        <v>0.83333333333333337</v>
      </c>
      <c r="M129" s="17">
        <v>0.9</v>
      </c>
      <c r="N129" s="17">
        <v>0.85</v>
      </c>
      <c r="O129" s="13">
        <v>0</v>
      </c>
      <c r="P129" s="13">
        <v>0</v>
      </c>
      <c r="Q129" s="13">
        <v>705653727.60000002</v>
      </c>
      <c r="R129" s="13">
        <v>747162770.39999998</v>
      </c>
      <c r="S129" s="13">
        <v>705653727.60000002</v>
      </c>
      <c r="T129" s="13">
        <v>-41509042.799999952</v>
      </c>
      <c r="U129" s="40">
        <v>1</v>
      </c>
      <c r="V129" s="15">
        <v>0.94444444444444453</v>
      </c>
      <c r="W129" s="16">
        <v>0</v>
      </c>
      <c r="X129" s="16">
        <v>-830180856</v>
      </c>
    </row>
    <row r="130" spans="1:24" x14ac:dyDescent="0.45">
      <c r="A130" s="3" t="s">
        <v>13</v>
      </c>
      <c r="B130" s="3" t="s">
        <v>78</v>
      </c>
      <c r="C130" s="3" t="s">
        <v>101</v>
      </c>
      <c r="D130" s="5">
        <v>830180856</v>
      </c>
      <c r="E130" s="6">
        <v>45414</v>
      </c>
      <c r="F130" s="7">
        <v>45596</v>
      </c>
      <c r="G130" s="7">
        <f t="shared" si="6"/>
        <v>45596</v>
      </c>
      <c r="H130" s="8">
        <v>5.97</v>
      </c>
      <c r="I130" s="8">
        <v>16.03</v>
      </c>
      <c r="J130" s="9">
        <v>6</v>
      </c>
      <c r="K130" s="3">
        <v>6</v>
      </c>
      <c r="L130" s="17">
        <f t="shared" si="5"/>
        <v>1</v>
      </c>
      <c r="M130" s="17">
        <v>1</v>
      </c>
      <c r="N130" s="17">
        <v>1</v>
      </c>
      <c r="O130" s="13">
        <v>519098491</v>
      </c>
      <c r="P130" s="13">
        <v>519098491</v>
      </c>
      <c r="Q130" s="13">
        <v>830180856</v>
      </c>
      <c r="R130" s="13">
        <v>830180856</v>
      </c>
      <c r="S130" s="13">
        <v>311082365</v>
      </c>
      <c r="T130" s="13">
        <v>0</v>
      </c>
      <c r="U130" s="14">
        <v>1.5992742618086324</v>
      </c>
      <c r="V130" s="15">
        <v>1</v>
      </c>
      <c r="W130" s="16">
        <v>519098491</v>
      </c>
      <c r="X130" s="16">
        <v>-311082365</v>
      </c>
    </row>
    <row r="131" spans="1:24" x14ac:dyDescent="0.45">
      <c r="A131" s="3" t="s">
        <v>11</v>
      </c>
      <c r="B131" s="3" t="s">
        <v>81</v>
      </c>
      <c r="C131" s="3" t="s">
        <v>103</v>
      </c>
      <c r="D131" s="5">
        <v>1566562163</v>
      </c>
      <c r="E131" s="6">
        <v>45402</v>
      </c>
      <c r="F131" s="7">
        <v>45656</v>
      </c>
      <c r="G131" s="7">
        <f t="shared" si="6"/>
        <v>45412</v>
      </c>
      <c r="H131" s="8">
        <v>8.33</v>
      </c>
      <c r="I131" s="8">
        <v>-7.33</v>
      </c>
      <c r="J131" s="9">
        <v>1</v>
      </c>
      <c r="K131" s="3">
        <v>8</v>
      </c>
      <c r="L131" s="17">
        <f t="shared" ref="L131:L194" si="7">J131/_xlfn.MAXIFS(J131:J528,A131:A528,A131)</f>
        <v>0.125</v>
      </c>
      <c r="M131" s="17">
        <v>0.1</v>
      </c>
      <c r="N131" s="17">
        <v>0.12</v>
      </c>
      <c r="O131" s="13">
        <v>195820270</v>
      </c>
      <c r="P131" s="13">
        <v>195820270</v>
      </c>
      <c r="Q131" s="13">
        <v>187987459.56</v>
      </c>
      <c r="R131" s="13">
        <v>156656216.30000001</v>
      </c>
      <c r="S131" s="13">
        <v>-7832810.4399999976</v>
      </c>
      <c r="T131" s="13">
        <v>31331243.25999999</v>
      </c>
      <c r="U131" s="14">
        <v>0.96000000183842049</v>
      </c>
      <c r="V131" s="15">
        <v>1.2</v>
      </c>
      <c r="W131" s="16">
        <v>1631835583.3333333</v>
      </c>
      <c r="X131" s="16">
        <v>65273420.333333254</v>
      </c>
    </row>
    <row r="132" spans="1:24" x14ac:dyDescent="0.45">
      <c r="A132" s="3" t="s">
        <v>11</v>
      </c>
      <c r="B132" s="3" t="s">
        <v>81</v>
      </c>
      <c r="C132" s="3" t="s">
        <v>103</v>
      </c>
      <c r="D132" s="5">
        <v>1566562163</v>
      </c>
      <c r="E132" s="6">
        <v>45402</v>
      </c>
      <c r="F132" s="7">
        <v>45656</v>
      </c>
      <c r="G132" s="7">
        <f t="shared" si="6"/>
        <v>45443</v>
      </c>
      <c r="H132" s="8">
        <v>8.33</v>
      </c>
      <c r="I132" s="8">
        <v>-6.33</v>
      </c>
      <c r="J132" s="9">
        <v>2</v>
      </c>
      <c r="K132" s="3">
        <v>8</v>
      </c>
      <c r="L132" s="17">
        <f t="shared" si="7"/>
        <v>0.25</v>
      </c>
      <c r="M132" s="17">
        <v>0.2</v>
      </c>
      <c r="N132" s="17">
        <v>0.25</v>
      </c>
      <c r="O132" s="13">
        <v>195820270</v>
      </c>
      <c r="P132" s="13">
        <v>195820270</v>
      </c>
      <c r="Q132" s="13">
        <v>391640540.75</v>
      </c>
      <c r="R132" s="13">
        <v>313312432.60000002</v>
      </c>
      <c r="S132" s="13">
        <v>195820270.75</v>
      </c>
      <c r="T132" s="13">
        <v>78328108.149999976</v>
      </c>
      <c r="U132" s="14">
        <v>2.0000000038300425</v>
      </c>
      <c r="V132" s="15">
        <v>1.25</v>
      </c>
      <c r="W132" s="16">
        <v>783281080.00000012</v>
      </c>
      <c r="X132" s="16">
        <v>-783281082.99999988</v>
      </c>
    </row>
    <row r="133" spans="1:24" x14ac:dyDescent="0.45">
      <c r="A133" s="3" t="s">
        <v>11</v>
      </c>
      <c r="B133" s="3" t="s">
        <v>81</v>
      </c>
      <c r="C133" s="3" t="s">
        <v>103</v>
      </c>
      <c r="D133" s="5">
        <v>1566562163</v>
      </c>
      <c r="E133" s="6">
        <v>45402</v>
      </c>
      <c r="F133" s="7">
        <v>45656</v>
      </c>
      <c r="G133" s="7">
        <f t="shared" si="6"/>
        <v>45473</v>
      </c>
      <c r="H133" s="8">
        <v>8.33</v>
      </c>
      <c r="I133" s="8">
        <v>-5.33</v>
      </c>
      <c r="J133" s="9">
        <v>3</v>
      </c>
      <c r="K133" s="3">
        <v>8</v>
      </c>
      <c r="L133" s="17">
        <f t="shared" si="7"/>
        <v>0.375</v>
      </c>
      <c r="M133" s="17">
        <v>0.3</v>
      </c>
      <c r="N133" s="17">
        <v>0.32</v>
      </c>
      <c r="O133" s="13">
        <v>195820270</v>
      </c>
      <c r="P133" s="13">
        <v>195820270</v>
      </c>
      <c r="Q133" s="13">
        <v>501299892.16000003</v>
      </c>
      <c r="R133" s="13">
        <v>469968648.89999998</v>
      </c>
      <c r="S133" s="13">
        <v>305479622.16000003</v>
      </c>
      <c r="T133" s="13">
        <v>31331243.26000005</v>
      </c>
      <c r="U133" s="14">
        <v>2.5600000049024549</v>
      </c>
      <c r="V133" s="15">
        <v>1.0666666666666669</v>
      </c>
      <c r="W133" s="16">
        <v>611938343.74999988</v>
      </c>
      <c r="X133" s="16">
        <v>-954623819.25000012</v>
      </c>
    </row>
    <row r="134" spans="1:24" x14ac:dyDescent="0.45">
      <c r="A134" s="3" t="s">
        <v>11</v>
      </c>
      <c r="B134" s="3" t="s">
        <v>81</v>
      </c>
      <c r="C134" s="3" t="s">
        <v>103</v>
      </c>
      <c r="D134" s="5">
        <v>1566562163</v>
      </c>
      <c r="E134" s="6">
        <v>45402</v>
      </c>
      <c r="F134" s="7">
        <v>45656</v>
      </c>
      <c r="G134" s="7">
        <f t="shared" si="6"/>
        <v>45504</v>
      </c>
      <c r="H134" s="8">
        <v>8.33</v>
      </c>
      <c r="I134" s="8">
        <v>-4.33</v>
      </c>
      <c r="J134" s="9">
        <v>4</v>
      </c>
      <c r="K134" s="3">
        <v>8</v>
      </c>
      <c r="L134" s="17">
        <f t="shared" si="7"/>
        <v>0.5</v>
      </c>
      <c r="M134" s="17">
        <v>0.45</v>
      </c>
      <c r="N134" s="17">
        <v>0.42</v>
      </c>
      <c r="O134" s="13">
        <v>195820270</v>
      </c>
      <c r="P134" s="13">
        <v>195820270</v>
      </c>
      <c r="Q134" s="13">
        <v>657956108.45999992</v>
      </c>
      <c r="R134" s="13">
        <v>704952973.35000002</v>
      </c>
      <c r="S134" s="13">
        <v>462135838.45999992</v>
      </c>
      <c r="T134" s="13">
        <v>-46996864.890000105</v>
      </c>
      <c r="U134" s="14">
        <v>3.3600000064344715</v>
      </c>
      <c r="V134" s="15">
        <v>0.93333333333333324</v>
      </c>
      <c r="W134" s="16">
        <v>466238738.09523815</v>
      </c>
      <c r="X134" s="16">
        <v>-1100323424.9047618</v>
      </c>
    </row>
    <row r="135" spans="1:24" x14ac:dyDescent="0.45">
      <c r="A135" s="3" t="s">
        <v>11</v>
      </c>
      <c r="B135" s="3" t="s">
        <v>81</v>
      </c>
      <c r="C135" s="3" t="s">
        <v>103</v>
      </c>
      <c r="D135" s="5">
        <v>1566562163</v>
      </c>
      <c r="E135" s="6">
        <v>45402</v>
      </c>
      <c r="F135" s="7">
        <v>45656</v>
      </c>
      <c r="G135" s="7">
        <f t="shared" si="6"/>
        <v>45535</v>
      </c>
      <c r="H135" s="8">
        <v>8.33</v>
      </c>
      <c r="I135" s="8">
        <v>-3.33</v>
      </c>
      <c r="J135" s="9">
        <v>5</v>
      </c>
      <c r="K135" s="3">
        <v>8</v>
      </c>
      <c r="L135" s="17">
        <f t="shared" si="7"/>
        <v>0.625</v>
      </c>
      <c r="M135" s="17">
        <v>0.55000000000000004</v>
      </c>
      <c r="N135" s="17">
        <v>0.56000000000000005</v>
      </c>
      <c r="O135" s="13">
        <v>195820270</v>
      </c>
      <c r="P135" s="13">
        <v>195820270</v>
      </c>
      <c r="Q135" s="13">
        <v>877274811.28000009</v>
      </c>
      <c r="R135" s="13">
        <v>861609189.6500001</v>
      </c>
      <c r="S135" s="13">
        <v>681454541.28000009</v>
      </c>
      <c r="T135" s="13">
        <v>15665621.629999995</v>
      </c>
      <c r="U135" s="14">
        <v>4.4800000085792959</v>
      </c>
      <c r="V135" s="15">
        <v>1.0181818181818181</v>
      </c>
      <c r="W135" s="16">
        <v>349679053.57142854</v>
      </c>
      <c r="X135" s="16">
        <v>-1216883109.4285715</v>
      </c>
    </row>
    <row r="136" spans="1:24" x14ac:dyDescent="0.45">
      <c r="A136" s="3" t="s">
        <v>11</v>
      </c>
      <c r="B136" s="3" t="s">
        <v>81</v>
      </c>
      <c r="C136" s="3" t="s">
        <v>103</v>
      </c>
      <c r="D136" s="5">
        <v>1566562163</v>
      </c>
      <c r="E136" s="6">
        <v>45402</v>
      </c>
      <c r="F136" s="7">
        <v>45656</v>
      </c>
      <c r="G136" s="7">
        <f t="shared" si="6"/>
        <v>45565</v>
      </c>
      <c r="H136" s="8">
        <v>8.33</v>
      </c>
      <c r="I136" s="8">
        <v>-2.33</v>
      </c>
      <c r="J136" s="9">
        <v>6</v>
      </c>
      <c r="K136" s="3">
        <v>8</v>
      </c>
      <c r="L136" s="17">
        <f t="shared" si="7"/>
        <v>0.75</v>
      </c>
      <c r="M136" s="17">
        <v>0.65</v>
      </c>
      <c r="N136" s="17">
        <v>0.67</v>
      </c>
      <c r="O136" s="13">
        <v>195820270</v>
      </c>
      <c r="P136" s="13">
        <v>195820270</v>
      </c>
      <c r="Q136" s="13">
        <v>1049596649.21</v>
      </c>
      <c r="R136" s="13">
        <v>1018265405.95</v>
      </c>
      <c r="S136" s="13">
        <v>853776379.21000004</v>
      </c>
      <c r="T136" s="13">
        <v>31331243.25999999</v>
      </c>
      <c r="U136" s="14">
        <v>5.3600000102645149</v>
      </c>
      <c r="V136" s="15">
        <v>1.0307692307692307</v>
      </c>
      <c r="W136" s="16">
        <v>292269059.70149249</v>
      </c>
      <c r="X136" s="16">
        <v>-1274293103.2985075</v>
      </c>
    </row>
    <row r="137" spans="1:24" x14ac:dyDescent="0.45">
      <c r="A137" s="3" t="s">
        <v>11</v>
      </c>
      <c r="B137" s="3" t="s">
        <v>81</v>
      </c>
      <c r="C137" s="3" t="s">
        <v>103</v>
      </c>
      <c r="D137" s="5">
        <v>1566562163</v>
      </c>
      <c r="E137" s="6">
        <v>45402</v>
      </c>
      <c r="F137" s="7">
        <v>45656</v>
      </c>
      <c r="G137" s="7">
        <f t="shared" si="6"/>
        <v>45596</v>
      </c>
      <c r="H137" s="8">
        <v>8.33</v>
      </c>
      <c r="I137" s="8">
        <v>-1.33</v>
      </c>
      <c r="J137" s="9">
        <v>7</v>
      </c>
      <c r="K137" s="3">
        <v>8</v>
      </c>
      <c r="L137" s="17">
        <f t="shared" si="7"/>
        <v>0.875</v>
      </c>
      <c r="M137" s="17">
        <v>0.85</v>
      </c>
      <c r="N137" s="17">
        <v>0.85</v>
      </c>
      <c r="O137" s="13">
        <v>195820270</v>
      </c>
      <c r="P137" s="13">
        <v>195820270</v>
      </c>
      <c r="Q137" s="13">
        <v>1331577838.55</v>
      </c>
      <c r="R137" s="13">
        <v>1331577838.55</v>
      </c>
      <c r="S137" s="13">
        <v>1135757568.55</v>
      </c>
      <c r="T137" s="13">
        <v>0</v>
      </c>
      <c r="U137" s="14">
        <v>6.800000013022145</v>
      </c>
      <c r="V137" s="15">
        <v>1</v>
      </c>
      <c r="W137" s="16">
        <v>230376788.23529413</v>
      </c>
      <c r="X137" s="16">
        <v>-1336185374.7647059</v>
      </c>
    </row>
    <row r="138" spans="1:24" x14ac:dyDescent="0.45">
      <c r="A138" s="3" t="s">
        <v>11</v>
      </c>
      <c r="B138" s="3" t="s">
        <v>81</v>
      </c>
      <c r="C138" s="3" t="s">
        <v>103</v>
      </c>
      <c r="D138" s="5">
        <v>1566562163</v>
      </c>
      <c r="E138" s="6">
        <v>45402</v>
      </c>
      <c r="F138" s="7">
        <v>45656</v>
      </c>
      <c r="G138" s="7">
        <f t="shared" si="6"/>
        <v>45626</v>
      </c>
      <c r="H138" s="8">
        <v>8.33</v>
      </c>
      <c r="I138" s="8">
        <v>-0.33000000000000007</v>
      </c>
      <c r="J138" s="9">
        <v>8</v>
      </c>
      <c r="K138" s="3">
        <v>8</v>
      </c>
      <c r="L138" s="17">
        <f t="shared" si="7"/>
        <v>1</v>
      </c>
      <c r="M138" s="17">
        <v>1</v>
      </c>
      <c r="N138" s="17">
        <v>1</v>
      </c>
      <c r="O138" s="13">
        <v>195820270</v>
      </c>
      <c r="P138" s="13">
        <v>195820270</v>
      </c>
      <c r="Q138" s="13">
        <v>1566562163</v>
      </c>
      <c r="R138" s="13">
        <v>1566562163</v>
      </c>
      <c r="S138" s="13">
        <v>1370741893</v>
      </c>
      <c r="T138" s="13">
        <v>0</v>
      </c>
      <c r="U138" s="14">
        <v>8.00000001532017</v>
      </c>
      <c r="V138" s="15">
        <v>1</v>
      </c>
      <c r="W138" s="16">
        <v>195820270.00000003</v>
      </c>
      <c r="X138" s="16">
        <v>-1370741893</v>
      </c>
    </row>
    <row r="139" spans="1:24" x14ac:dyDescent="0.45">
      <c r="A139" s="3" t="s">
        <v>60</v>
      </c>
      <c r="B139" s="3" t="s">
        <v>95</v>
      </c>
      <c r="C139" s="3" t="s">
        <v>101</v>
      </c>
      <c r="D139" s="5">
        <v>28089671329</v>
      </c>
      <c r="E139" s="6">
        <v>45962</v>
      </c>
      <c r="F139" s="7">
        <v>47787</v>
      </c>
      <c r="G139" s="7">
        <f t="shared" si="6"/>
        <v>45991</v>
      </c>
      <c r="H139" s="8">
        <v>60</v>
      </c>
      <c r="I139" s="8">
        <v>-59</v>
      </c>
      <c r="J139" s="9">
        <v>1</v>
      </c>
      <c r="K139" s="3">
        <v>60</v>
      </c>
      <c r="L139" s="17">
        <f t="shared" si="7"/>
        <v>0.33333333333333331</v>
      </c>
      <c r="M139" s="17">
        <v>0.25</v>
      </c>
      <c r="N139" s="17">
        <v>0.25</v>
      </c>
      <c r="O139" s="13">
        <v>2429630372</v>
      </c>
      <c r="P139" s="13">
        <v>2429630372</v>
      </c>
      <c r="Q139" s="13">
        <v>7022417832.25</v>
      </c>
      <c r="R139" s="13">
        <v>7022417832.25</v>
      </c>
      <c r="S139" s="13">
        <v>4592787460.25</v>
      </c>
      <c r="T139" s="13">
        <v>0</v>
      </c>
      <c r="U139" s="14">
        <v>2.8903235295290424</v>
      </c>
      <c r="V139" s="15">
        <v>1</v>
      </c>
      <c r="W139" s="16">
        <v>9718521488</v>
      </c>
      <c r="X139" s="16">
        <v>-18371149841</v>
      </c>
    </row>
    <row r="140" spans="1:24" x14ac:dyDescent="0.45">
      <c r="A140" s="3" t="s">
        <v>60</v>
      </c>
      <c r="B140" s="3" t="s">
        <v>95</v>
      </c>
      <c r="C140" s="3" t="s">
        <v>101</v>
      </c>
      <c r="D140" s="5">
        <v>28089671329</v>
      </c>
      <c r="E140" s="6">
        <v>45962</v>
      </c>
      <c r="F140" s="7">
        <v>47787</v>
      </c>
      <c r="G140" s="7">
        <f t="shared" si="6"/>
        <v>46022</v>
      </c>
      <c r="H140" s="8">
        <v>60</v>
      </c>
      <c r="I140" s="8">
        <v>-56</v>
      </c>
      <c r="J140" s="9">
        <v>2</v>
      </c>
      <c r="K140" s="3">
        <v>60</v>
      </c>
      <c r="L140" s="17">
        <f t="shared" si="7"/>
        <v>0.66666666666666663</v>
      </c>
      <c r="M140" s="17">
        <v>0.27</v>
      </c>
      <c r="N140" s="17">
        <v>0.27</v>
      </c>
      <c r="O140" s="13">
        <v>1680064195</v>
      </c>
      <c r="P140" s="13">
        <v>1680064195</v>
      </c>
      <c r="Q140" s="13">
        <v>7584211258.8300009</v>
      </c>
      <c r="R140" s="13">
        <v>7584211258.8300009</v>
      </c>
      <c r="S140" s="13">
        <v>5904147063.8300009</v>
      </c>
      <c r="T140" s="13">
        <v>0</v>
      </c>
      <c r="U140" s="14">
        <v>4.5142389686067927</v>
      </c>
      <c r="V140" s="15">
        <v>1</v>
      </c>
      <c r="W140" s="16">
        <v>6222459981.4814806</v>
      </c>
      <c r="X140" s="16">
        <v>-21867211347.51852</v>
      </c>
    </row>
    <row r="141" spans="1:24" x14ac:dyDescent="0.45">
      <c r="A141" s="3" t="s">
        <v>60</v>
      </c>
      <c r="B141" s="3" t="s">
        <v>95</v>
      </c>
      <c r="C141" s="3" t="s">
        <v>101</v>
      </c>
      <c r="D141" s="5">
        <v>28089671329</v>
      </c>
      <c r="E141" s="6">
        <v>45962</v>
      </c>
      <c r="F141" s="7">
        <v>47787</v>
      </c>
      <c r="G141" s="7">
        <f t="shared" si="6"/>
        <v>46053</v>
      </c>
      <c r="H141" s="8">
        <v>60</v>
      </c>
      <c r="I141" s="8">
        <v>-56</v>
      </c>
      <c r="J141" s="9">
        <v>3</v>
      </c>
      <c r="K141" s="3">
        <v>60</v>
      </c>
      <c r="L141" s="17">
        <f t="shared" si="7"/>
        <v>1</v>
      </c>
      <c r="M141" s="17">
        <v>0.28000000000000003</v>
      </c>
      <c r="N141" s="17">
        <v>0.28000000000000003</v>
      </c>
      <c r="O141" s="13">
        <v>30081382</v>
      </c>
      <c r="P141" s="13">
        <v>30081382</v>
      </c>
      <c r="Q141" s="13">
        <v>7865107972.1200008</v>
      </c>
      <c r="R141" s="13">
        <v>7865107972.1200008</v>
      </c>
      <c r="S141" s="13">
        <v>7835026590.1200008</v>
      </c>
      <c r="T141" s="13">
        <v>0</v>
      </c>
      <c r="U141" s="14">
        <v>261.46099178953949</v>
      </c>
      <c r="V141" s="15">
        <v>1</v>
      </c>
      <c r="W141" s="16">
        <v>107433507.14285713</v>
      </c>
      <c r="X141" s="16">
        <v>-27982237821.857143</v>
      </c>
    </row>
    <row r="142" spans="1:24" x14ac:dyDescent="0.45">
      <c r="A142" s="3" t="s">
        <v>7</v>
      </c>
      <c r="B142" s="3" t="s">
        <v>80</v>
      </c>
      <c r="C142" s="3" t="s">
        <v>103</v>
      </c>
      <c r="D142" s="5">
        <v>4004446789</v>
      </c>
      <c r="E142" s="6">
        <v>45345</v>
      </c>
      <c r="F142" s="7">
        <v>45587</v>
      </c>
      <c r="G142" s="7">
        <f t="shared" ref="G142:G149" si="8">EOMONTH(E142,J142-1)</f>
        <v>45351</v>
      </c>
      <c r="H142" s="8">
        <v>7.97</v>
      </c>
      <c r="I142" s="8">
        <v>-6.97</v>
      </c>
      <c r="J142" s="9">
        <v>1</v>
      </c>
      <c r="K142" s="3">
        <v>8</v>
      </c>
      <c r="L142" s="17">
        <f t="shared" si="7"/>
        <v>0.125</v>
      </c>
      <c r="M142" s="17">
        <v>0.1</v>
      </c>
      <c r="N142" s="17">
        <v>0.09</v>
      </c>
      <c r="O142" s="13">
        <v>1261863958</v>
      </c>
      <c r="P142" s="13">
        <v>1261863958</v>
      </c>
      <c r="Q142" s="13">
        <v>360400211.00999999</v>
      </c>
      <c r="R142" s="13">
        <v>400444678.90000004</v>
      </c>
      <c r="S142" s="13">
        <v>-901463746.99000001</v>
      </c>
      <c r="T142" s="13">
        <v>-40044467.890000045</v>
      </c>
      <c r="U142" s="14">
        <v>0.28560940244399941</v>
      </c>
      <c r="V142" s="15">
        <v>0.89999999999999991</v>
      </c>
      <c r="W142" s="16">
        <v>14020710644.444447</v>
      </c>
      <c r="X142" s="16">
        <v>10016263855.444447</v>
      </c>
    </row>
    <row r="143" spans="1:24" x14ac:dyDescent="0.45">
      <c r="A143" s="3" t="s">
        <v>7</v>
      </c>
      <c r="B143" s="3" t="s">
        <v>80</v>
      </c>
      <c r="C143" s="3" t="s">
        <v>103</v>
      </c>
      <c r="D143" s="5">
        <v>4004446789</v>
      </c>
      <c r="E143" s="6">
        <v>45345</v>
      </c>
      <c r="F143" s="7">
        <v>45587</v>
      </c>
      <c r="G143" s="7">
        <f t="shared" si="8"/>
        <v>45382</v>
      </c>
      <c r="H143" s="8">
        <v>7.97</v>
      </c>
      <c r="I143" s="8">
        <v>-5.97</v>
      </c>
      <c r="J143" s="9">
        <v>2</v>
      </c>
      <c r="K143" s="3">
        <v>8</v>
      </c>
      <c r="L143" s="17">
        <f t="shared" si="7"/>
        <v>0.25</v>
      </c>
      <c r="M143" s="17">
        <v>0.2</v>
      </c>
      <c r="N143" s="17">
        <v>0.25</v>
      </c>
      <c r="O143" s="13">
        <v>790679659</v>
      </c>
      <c r="P143" s="13">
        <v>790679659</v>
      </c>
      <c r="Q143" s="13">
        <v>1001111697.25</v>
      </c>
      <c r="R143" s="13">
        <v>800889357.80000007</v>
      </c>
      <c r="S143" s="13">
        <v>210432038.25</v>
      </c>
      <c r="T143" s="13">
        <v>200222339.44999993</v>
      </c>
      <c r="U143" s="14">
        <v>1.266140700414806</v>
      </c>
      <c r="V143" s="15">
        <v>1.2499999999999998</v>
      </c>
      <c r="W143" s="16">
        <v>3162718636</v>
      </c>
      <c r="X143" s="16">
        <v>-841728153</v>
      </c>
    </row>
    <row r="144" spans="1:24" x14ac:dyDescent="0.45">
      <c r="A144" s="3" t="s">
        <v>7</v>
      </c>
      <c r="B144" s="3" t="s">
        <v>80</v>
      </c>
      <c r="C144" s="3" t="s">
        <v>103</v>
      </c>
      <c r="D144" s="5">
        <v>4004446789</v>
      </c>
      <c r="E144" s="6">
        <v>45345</v>
      </c>
      <c r="F144" s="7">
        <v>45587</v>
      </c>
      <c r="G144" s="7">
        <f t="shared" si="8"/>
        <v>45412</v>
      </c>
      <c r="H144" s="8">
        <v>7.97</v>
      </c>
      <c r="I144" s="8">
        <v>-4.97</v>
      </c>
      <c r="J144" s="9">
        <v>3</v>
      </c>
      <c r="K144" s="3">
        <v>8</v>
      </c>
      <c r="L144" s="17">
        <f t="shared" si="7"/>
        <v>0.375</v>
      </c>
      <c r="M144" s="17">
        <v>0.3</v>
      </c>
      <c r="N144" s="17">
        <v>0.3</v>
      </c>
      <c r="O144" s="13">
        <v>674339043</v>
      </c>
      <c r="P144" s="13">
        <v>674339043</v>
      </c>
      <c r="Q144" s="13">
        <v>1201334036.7</v>
      </c>
      <c r="R144" s="13">
        <v>1201334036.7</v>
      </c>
      <c r="S144" s="13">
        <v>526994993.70000005</v>
      </c>
      <c r="T144" s="13">
        <v>0</v>
      </c>
      <c r="U144" s="14">
        <v>1.7814985639204641</v>
      </c>
      <c r="V144" s="15">
        <v>1</v>
      </c>
      <c r="W144" s="16">
        <v>2247796810</v>
      </c>
      <c r="X144" s="16">
        <v>-1756649979</v>
      </c>
    </row>
    <row r="145" spans="1:24" x14ac:dyDescent="0.45">
      <c r="A145" s="3" t="s">
        <v>7</v>
      </c>
      <c r="B145" s="3" t="s">
        <v>80</v>
      </c>
      <c r="C145" s="3" t="s">
        <v>103</v>
      </c>
      <c r="D145" s="5">
        <v>4004446789</v>
      </c>
      <c r="E145" s="6">
        <v>45345</v>
      </c>
      <c r="F145" s="7">
        <v>45587</v>
      </c>
      <c r="G145" s="7">
        <f t="shared" si="8"/>
        <v>45443</v>
      </c>
      <c r="H145" s="8">
        <v>7.97</v>
      </c>
      <c r="I145" s="8">
        <v>-3.9699999999999998</v>
      </c>
      <c r="J145" s="9">
        <v>4</v>
      </c>
      <c r="K145" s="3">
        <v>8</v>
      </c>
      <c r="L145" s="17">
        <f t="shared" si="7"/>
        <v>0.5</v>
      </c>
      <c r="M145" s="17">
        <v>0.45</v>
      </c>
      <c r="N145" s="17">
        <v>0.42</v>
      </c>
      <c r="O145" s="13">
        <v>441657811</v>
      </c>
      <c r="P145" s="13">
        <v>441657811</v>
      </c>
      <c r="Q145" s="13">
        <v>1681867651.3799999</v>
      </c>
      <c r="R145" s="13">
        <v>1802001055.05</v>
      </c>
      <c r="S145" s="13">
        <v>1240209840.3799999</v>
      </c>
      <c r="T145" s="13">
        <v>-120133403.67000008</v>
      </c>
      <c r="U145" s="14">
        <v>3.8080785836707411</v>
      </c>
      <c r="V145" s="15">
        <v>0.93333333333333324</v>
      </c>
      <c r="W145" s="16">
        <v>1051566216.6666667</v>
      </c>
      <c r="X145" s="16">
        <v>-2952880572.333333</v>
      </c>
    </row>
    <row r="146" spans="1:24" x14ac:dyDescent="0.45">
      <c r="A146" s="3" t="s">
        <v>7</v>
      </c>
      <c r="B146" s="3" t="s">
        <v>80</v>
      </c>
      <c r="C146" s="3" t="s">
        <v>103</v>
      </c>
      <c r="D146" s="5">
        <v>4004446789</v>
      </c>
      <c r="E146" s="6">
        <v>45345</v>
      </c>
      <c r="F146" s="7">
        <v>45587</v>
      </c>
      <c r="G146" s="7">
        <f t="shared" si="8"/>
        <v>45473</v>
      </c>
      <c r="H146" s="8">
        <v>7.97</v>
      </c>
      <c r="I146" s="8">
        <v>-2.9699999999999998</v>
      </c>
      <c r="J146" s="9">
        <v>5</v>
      </c>
      <c r="K146" s="3">
        <v>8</v>
      </c>
      <c r="L146" s="17">
        <f t="shared" si="7"/>
        <v>0.625</v>
      </c>
      <c r="M146" s="17">
        <v>0.55000000000000004</v>
      </c>
      <c r="N146" s="17">
        <v>0.55000000000000004</v>
      </c>
      <c r="O146" s="13">
        <v>208976579</v>
      </c>
      <c r="P146" s="13">
        <v>208976579</v>
      </c>
      <c r="Q146" s="13">
        <v>2202445733.9500003</v>
      </c>
      <c r="R146" s="13">
        <v>2202445733.9500003</v>
      </c>
      <c r="S146" s="13">
        <v>1993469154.9500003</v>
      </c>
      <c r="T146" s="13">
        <v>0</v>
      </c>
      <c r="U146" s="14">
        <v>10.539198911615834</v>
      </c>
      <c r="V146" s="15">
        <v>1</v>
      </c>
      <c r="W146" s="16">
        <v>379957416.36363631</v>
      </c>
      <c r="X146" s="16">
        <v>-3624489372.6363635</v>
      </c>
    </row>
    <row r="147" spans="1:24" x14ac:dyDescent="0.45">
      <c r="A147" s="3" t="s">
        <v>7</v>
      </c>
      <c r="B147" s="3" t="s">
        <v>80</v>
      </c>
      <c r="C147" s="3" t="s">
        <v>103</v>
      </c>
      <c r="D147" s="5">
        <v>4004446789</v>
      </c>
      <c r="E147" s="6">
        <v>45345</v>
      </c>
      <c r="F147" s="7">
        <v>45587</v>
      </c>
      <c r="G147" s="7">
        <f t="shared" si="8"/>
        <v>45504</v>
      </c>
      <c r="H147" s="8">
        <v>7.97</v>
      </c>
      <c r="I147" s="8">
        <v>-1.9699999999999998</v>
      </c>
      <c r="J147" s="9">
        <v>6</v>
      </c>
      <c r="K147" s="3">
        <v>8</v>
      </c>
      <c r="L147" s="17">
        <f t="shared" si="7"/>
        <v>0.75</v>
      </c>
      <c r="M147" s="17">
        <v>0.65</v>
      </c>
      <c r="N147" s="17">
        <v>0.67</v>
      </c>
      <c r="O147" s="13">
        <v>208976579</v>
      </c>
      <c r="P147" s="13">
        <v>208976579</v>
      </c>
      <c r="Q147" s="13">
        <v>2682979348.6300001</v>
      </c>
      <c r="R147" s="13">
        <v>2602890412.8499999</v>
      </c>
      <c r="S147" s="13">
        <v>2474002769.6300001</v>
      </c>
      <c r="T147" s="13">
        <v>80088935.78000021</v>
      </c>
      <c r="U147" s="14">
        <v>12.838660492332014</v>
      </c>
      <c r="V147" s="15">
        <v>1.0307692307692309</v>
      </c>
      <c r="W147" s="16">
        <v>311905341.79104477</v>
      </c>
      <c r="X147" s="16">
        <v>-3692541447.2089553</v>
      </c>
    </row>
    <row r="148" spans="1:24" x14ac:dyDescent="0.45">
      <c r="A148" s="3" t="s">
        <v>7</v>
      </c>
      <c r="B148" s="3" t="s">
        <v>80</v>
      </c>
      <c r="C148" s="3" t="s">
        <v>103</v>
      </c>
      <c r="D148" s="5">
        <v>4004446789</v>
      </c>
      <c r="E148" s="6">
        <v>45345</v>
      </c>
      <c r="F148" s="7">
        <v>45587</v>
      </c>
      <c r="G148" s="7">
        <f t="shared" si="8"/>
        <v>45535</v>
      </c>
      <c r="H148" s="8">
        <v>7.97</v>
      </c>
      <c r="I148" s="8">
        <v>-0.96999999999999975</v>
      </c>
      <c r="J148" s="9">
        <v>7</v>
      </c>
      <c r="K148" s="3">
        <v>8</v>
      </c>
      <c r="L148" s="17">
        <f t="shared" si="7"/>
        <v>0.875</v>
      </c>
      <c r="M148" s="17">
        <v>0.8</v>
      </c>
      <c r="N148" s="17">
        <v>0.85</v>
      </c>
      <c r="O148" s="13">
        <v>208976579</v>
      </c>
      <c r="P148" s="13">
        <v>208976579</v>
      </c>
      <c r="Q148" s="13">
        <v>3403779770.6500001</v>
      </c>
      <c r="R148" s="13">
        <v>3203557431.2000003</v>
      </c>
      <c r="S148" s="13">
        <v>3194803191.6500001</v>
      </c>
      <c r="T148" s="13">
        <v>200222339.44999981</v>
      </c>
      <c r="U148" s="14">
        <v>16.287852863406286</v>
      </c>
      <c r="V148" s="15">
        <v>1.0625</v>
      </c>
      <c r="W148" s="16">
        <v>245854798.82352942</v>
      </c>
      <c r="X148" s="16">
        <v>-3758591990.1764708</v>
      </c>
    </row>
    <row r="149" spans="1:24" x14ac:dyDescent="0.45">
      <c r="A149" s="3" t="s">
        <v>7</v>
      </c>
      <c r="B149" s="3" t="s">
        <v>80</v>
      </c>
      <c r="C149" s="3" t="s">
        <v>103</v>
      </c>
      <c r="D149" s="5">
        <v>4004446789</v>
      </c>
      <c r="E149" s="6">
        <v>45345</v>
      </c>
      <c r="F149" s="7">
        <v>45587</v>
      </c>
      <c r="G149" s="7">
        <f t="shared" si="8"/>
        <v>45565</v>
      </c>
      <c r="H149" s="8">
        <v>7.97</v>
      </c>
      <c r="I149" s="8">
        <v>3.0000000000000249E-2</v>
      </c>
      <c r="J149" s="9">
        <v>8</v>
      </c>
      <c r="K149" s="3">
        <v>8</v>
      </c>
      <c r="L149" s="17">
        <f t="shared" si="7"/>
        <v>1</v>
      </c>
      <c r="M149" s="17">
        <v>0.9</v>
      </c>
      <c r="N149" s="17">
        <v>1</v>
      </c>
      <c r="O149" s="13">
        <v>208976579</v>
      </c>
      <c r="P149" s="13">
        <v>208976579</v>
      </c>
      <c r="Q149" s="13">
        <v>4004446789</v>
      </c>
      <c r="R149" s="13">
        <v>3604002110.0999999</v>
      </c>
      <c r="S149" s="13">
        <v>3795470210</v>
      </c>
      <c r="T149" s="13">
        <v>400444678.9000001</v>
      </c>
      <c r="U149" s="14">
        <v>19.162179839301512</v>
      </c>
      <c r="V149" s="15">
        <v>1.1111111111111112</v>
      </c>
      <c r="W149" s="16">
        <v>208976579.00000003</v>
      </c>
      <c r="X149" s="16">
        <v>-3795470210</v>
      </c>
    </row>
    <row r="150" spans="1:24" x14ac:dyDescent="0.45">
      <c r="A150" s="3" t="s">
        <v>14</v>
      </c>
      <c r="B150" s="3" t="s">
        <v>76</v>
      </c>
      <c r="C150" s="3" t="s">
        <v>101</v>
      </c>
      <c r="D150" s="5">
        <v>4504425757</v>
      </c>
      <c r="E150" s="6">
        <v>45439</v>
      </c>
      <c r="F150" s="7">
        <v>46533</v>
      </c>
      <c r="G150" s="7">
        <f t="shared" ref="G150:G180" si="9">EOMONTH(E150,J150-1)</f>
        <v>45443</v>
      </c>
      <c r="H150" s="8">
        <v>35.97</v>
      </c>
      <c r="I150" s="8">
        <v>-34.97</v>
      </c>
      <c r="J150" s="9">
        <v>1</v>
      </c>
      <c r="K150" s="3">
        <v>36</v>
      </c>
      <c r="L150" s="17">
        <f t="shared" si="7"/>
        <v>4.5454545454545456E-2</v>
      </c>
      <c r="M150" s="17">
        <v>0.02</v>
      </c>
      <c r="N150" s="17">
        <v>0.05</v>
      </c>
      <c r="O150" s="13">
        <v>14689</v>
      </c>
      <c r="P150" s="13">
        <v>14689</v>
      </c>
      <c r="Q150" s="13">
        <v>225221287.85000002</v>
      </c>
      <c r="R150" s="13">
        <v>90088515.140000001</v>
      </c>
      <c r="S150" s="13">
        <v>225206598.85000002</v>
      </c>
      <c r="T150" s="13">
        <v>135132772.71000004</v>
      </c>
      <c r="U150" s="14">
        <v>15332.649455374773</v>
      </c>
      <c r="V150" s="15">
        <v>2.5000000000000004</v>
      </c>
      <c r="W150" s="16">
        <v>293779.99999999994</v>
      </c>
      <c r="X150" s="16">
        <v>-4504131977</v>
      </c>
    </row>
    <row r="151" spans="1:24" x14ac:dyDescent="0.45">
      <c r="A151" s="3" t="s">
        <v>14</v>
      </c>
      <c r="B151" s="3" t="s">
        <v>76</v>
      </c>
      <c r="C151" s="3" t="s">
        <v>101</v>
      </c>
      <c r="D151" s="5">
        <v>4504425757</v>
      </c>
      <c r="E151" s="6">
        <v>45439</v>
      </c>
      <c r="F151" s="7">
        <v>46533</v>
      </c>
      <c r="G151" s="7">
        <f t="shared" si="9"/>
        <v>45473</v>
      </c>
      <c r="H151" s="8">
        <v>35.97</v>
      </c>
      <c r="I151" s="8">
        <v>-33.97</v>
      </c>
      <c r="J151" s="9">
        <v>2</v>
      </c>
      <c r="K151" s="3">
        <v>36</v>
      </c>
      <c r="L151" s="17">
        <f t="shared" si="7"/>
        <v>9.0909090909090912E-2</v>
      </c>
      <c r="M151" s="17">
        <v>0.05</v>
      </c>
      <c r="N151" s="17">
        <v>7.0000000000000007E-2</v>
      </c>
      <c r="O151" s="13">
        <v>276012204</v>
      </c>
      <c r="P151" s="13">
        <v>276012204</v>
      </c>
      <c r="Q151" s="13">
        <v>315309802.99000001</v>
      </c>
      <c r="R151" s="13">
        <v>225221287.85000002</v>
      </c>
      <c r="S151" s="13">
        <v>39297598.99000001</v>
      </c>
      <c r="T151" s="13">
        <v>90088515.139999986</v>
      </c>
      <c r="U151" s="14">
        <v>1.142376309527241</v>
      </c>
      <c r="V151" s="15">
        <v>1.4</v>
      </c>
      <c r="W151" s="16">
        <v>3943031485.7142859</v>
      </c>
      <c r="X151" s="16">
        <v>-561394271.28571415</v>
      </c>
    </row>
    <row r="152" spans="1:24" x14ac:dyDescent="0.45">
      <c r="A152" s="3" t="s">
        <v>14</v>
      </c>
      <c r="B152" s="3" t="s">
        <v>76</v>
      </c>
      <c r="C152" s="3" t="s">
        <v>101</v>
      </c>
      <c r="D152" s="5">
        <v>4504425757</v>
      </c>
      <c r="E152" s="6">
        <v>45439</v>
      </c>
      <c r="F152" s="7">
        <v>46533</v>
      </c>
      <c r="G152" s="7">
        <f t="shared" si="9"/>
        <v>45504</v>
      </c>
      <c r="H152" s="8">
        <v>35.97</v>
      </c>
      <c r="I152" s="8">
        <v>-32.97</v>
      </c>
      <c r="J152" s="9">
        <v>3</v>
      </c>
      <c r="K152" s="3">
        <v>36</v>
      </c>
      <c r="L152" s="17">
        <f t="shared" si="7"/>
        <v>0.13636363636363635</v>
      </c>
      <c r="M152" s="17">
        <v>0.08</v>
      </c>
      <c r="N152" s="17">
        <v>0.08</v>
      </c>
      <c r="O152" s="13">
        <v>120457490</v>
      </c>
      <c r="P152" s="13">
        <v>120457490</v>
      </c>
      <c r="Q152" s="13">
        <v>360354060.56</v>
      </c>
      <c r="R152" s="13">
        <v>360354060.56</v>
      </c>
      <c r="S152" s="13">
        <v>239896570.56</v>
      </c>
      <c r="T152" s="13">
        <v>0</v>
      </c>
      <c r="U152" s="14">
        <v>2.991545486793723</v>
      </c>
      <c r="V152" s="15">
        <v>1</v>
      </c>
      <c r="W152" s="16">
        <v>1505718625</v>
      </c>
      <c r="X152" s="16">
        <v>-2998707132</v>
      </c>
    </row>
    <row r="153" spans="1:24" x14ac:dyDescent="0.45">
      <c r="A153" s="3" t="s">
        <v>14</v>
      </c>
      <c r="B153" s="3" t="s">
        <v>76</v>
      </c>
      <c r="C153" s="3" t="s">
        <v>101</v>
      </c>
      <c r="D153" s="5">
        <v>4504425757</v>
      </c>
      <c r="E153" s="6">
        <v>45439</v>
      </c>
      <c r="F153" s="7">
        <v>46533</v>
      </c>
      <c r="G153" s="7">
        <f t="shared" si="9"/>
        <v>45535</v>
      </c>
      <c r="H153" s="8">
        <v>35.97</v>
      </c>
      <c r="I153" s="8">
        <v>-31.97</v>
      </c>
      <c r="J153" s="9">
        <v>4</v>
      </c>
      <c r="K153" s="3">
        <v>36</v>
      </c>
      <c r="L153" s="17">
        <f t="shared" si="7"/>
        <v>0.18181818181818182</v>
      </c>
      <c r="M153" s="17">
        <v>0.11</v>
      </c>
      <c r="N153" s="17">
        <v>0.11</v>
      </c>
      <c r="O153" s="13">
        <v>110451020</v>
      </c>
      <c r="P153" s="13">
        <v>110451020</v>
      </c>
      <c r="Q153" s="13">
        <v>495486833.26999998</v>
      </c>
      <c r="R153" s="13">
        <v>495486833.26999998</v>
      </c>
      <c r="S153" s="13">
        <v>385035813.26999998</v>
      </c>
      <c r="T153" s="13">
        <v>0</v>
      </c>
      <c r="U153" s="14">
        <v>4.4860322092996512</v>
      </c>
      <c r="V153" s="15">
        <v>1</v>
      </c>
      <c r="W153" s="16">
        <v>1004100181.8181819</v>
      </c>
      <c r="X153" s="16">
        <v>-3500325575.181818</v>
      </c>
    </row>
    <row r="154" spans="1:24" x14ac:dyDescent="0.45">
      <c r="A154" s="3" t="s">
        <v>14</v>
      </c>
      <c r="B154" s="3" t="s">
        <v>76</v>
      </c>
      <c r="C154" s="3" t="s">
        <v>101</v>
      </c>
      <c r="D154" s="5">
        <v>4504425757</v>
      </c>
      <c r="E154" s="6">
        <v>45439</v>
      </c>
      <c r="F154" s="7">
        <v>46533</v>
      </c>
      <c r="G154" s="7">
        <f t="shared" si="9"/>
        <v>45565</v>
      </c>
      <c r="H154" s="8">
        <v>35.97</v>
      </c>
      <c r="I154" s="8">
        <v>-30.97</v>
      </c>
      <c r="J154" s="9">
        <v>5</v>
      </c>
      <c r="K154" s="3">
        <v>36</v>
      </c>
      <c r="L154" s="17">
        <f t="shared" si="7"/>
        <v>0.22727272727272727</v>
      </c>
      <c r="M154" s="17">
        <v>0.14000000000000001</v>
      </c>
      <c r="N154" s="17">
        <v>0.13</v>
      </c>
      <c r="O154" s="13">
        <v>121118864</v>
      </c>
      <c r="P154" s="13">
        <v>121118864</v>
      </c>
      <c r="Q154" s="13">
        <v>585575348.40999997</v>
      </c>
      <c r="R154" s="13">
        <v>630619605.98000002</v>
      </c>
      <c r="S154" s="13">
        <v>464456484.40999997</v>
      </c>
      <c r="T154" s="13">
        <v>-45044257.570000052</v>
      </c>
      <c r="U154" s="14">
        <v>4.8347163197468559</v>
      </c>
      <c r="V154" s="15">
        <v>0.92857142857142849</v>
      </c>
      <c r="W154" s="16">
        <v>931683569.23076928</v>
      </c>
      <c r="X154" s="16">
        <v>-3572742187.7692308</v>
      </c>
    </row>
    <row r="155" spans="1:24" x14ac:dyDescent="0.45">
      <c r="A155" s="3" t="s">
        <v>14</v>
      </c>
      <c r="B155" s="3" t="s">
        <v>76</v>
      </c>
      <c r="C155" s="3" t="s">
        <v>101</v>
      </c>
      <c r="D155" s="5">
        <v>4504425757</v>
      </c>
      <c r="E155" s="6">
        <v>45439</v>
      </c>
      <c r="F155" s="7">
        <v>46533</v>
      </c>
      <c r="G155" s="7">
        <f t="shared" si="9"/>
        <v>45596</v>
      </c>
      <c r="H155" s="8">
        <v>35.97</v>
      </c>
      <c r="I155" s="8">
        <v>-29.97</v>
      </c>
      <c r="J155" s="9">
        <v>6</v>
      </c>
      <c r="K155" s="3">
        <v>36</v>
      </c>
      <c r="L155" s="17">
        <f t="shared" si="7"/>
        <v>0.27272727272727271</v>
      </c>
      <c r="M155" s="17">
        <v>0.17</v>
      </c>
      <c r="N155" s="17">
        <v>0.18</v>
      </c>
      <c r="O155" s="13">
        <v>121118864</v>
      </c>
      <c r="P155" s="13">
        <v>121118864</v>
      </c>
      <c r="Q155" s="13">
        <v>810796636.25999999</v>
      </c>
      <c r="R155" s="13">
        <v>765752378.69000006</v>
      </c>
      <c r="S155" s="13">
        <v>689677772.25999999</v>
      </c>
      <c r="T155" s="13">
        <v>45044257.569999933</v>
      </c>
      <c r="U155" s="14">
        <v>6.6942225965725699</v>
      </c>
      <c r="V155" s="15">
        <v>1.0588235294117647</v>
      </c>
      <c r="W155" s="16">
        <v>672882577.77777779</v>
      </c>
      <c r="X155" s="16">
        <v>-3831543179.2222223</v>
      </c>
    </row>
    <row r="156" spans="1:24" x14ac:dyDescent="0.45">
      <c r="A156" s="3" t="s">
        <v>14</v>
      </c>
      <c r="B156" s="3" t="s">
        <v>76</v>
      </c>
      <c r="C156" s="3" t="s">
        <v>101</v>
      </c>
      <c r="D156" s="5">
        <v>4504425757</v>
      </c>
      <c r="E156" s="6">
        <v>45439</v>
      </c>
      <c r="F156" s="7">
        <v>46533</v>
      </c>
      <c r="G156" s="7">
        <f t="shared" si="9"/>
        <v>45626</v>
      </c>
      <c r="H156" s="8">
        <v>35.97</v>
      </c>
      <c r="I156" s="8">
        <v>-28.97</v>
      </c>
      <c r="J156" s="9">
        <v>7</v>
      </c>
      <c r="K156" s="3">
        <v>36</v>
      </c>
      <c r="L156" s="17">
        <f t="shared" si="7"/>
        <v>0.31818181818181818</v>
      </c>
      <c r="M156" s="17">
        <v>0.2</v>
      </c>
      <c r="N156" s="17">
        <v>0.21</v>
      </c>
      <c r="O156" s="13">
        <v>121118864</v>
      </c>
      <c r="P156" s="13">
        <v>121118864</v>
      </c>
      <c r="Q156" s="13">
        <v>945929408.96999991</v>
      </c>
      <c r="R156" s="13">
        <v>900885151.4000001</v>
      </c>
      <c r="S156" s="13">
        <v>824810544.96999991</v>
      </c>
      <c r="T156" s="13">
        <v>45044257.569999814</v>
      </c>
      <c r="U156" s="14">
        <v>7.8099263626679978</v>
      </c>
      <c r="V156" s="15">
        <v>1.0499999999999998</v>
      </c>
      <c r="W156" s="16">
        <v>576756495.23809528</v>
      </c>
      <c r="X156" s="16">
        <v>-3927669261.7619047</v>
      </c>
    </row>
    <row r="157" spans="1:24" x14ac:dyDescent="0.45">
      <c r="A157" s="3" t="s">
        <v>14</v>
      </c>
      <c r="B157" s="3" t="s">
        <v>76</v>
      </c>
      <c r="C157" s="3" t="s">
        <v>101</v>
      </c>
      <c r="D157" s="5">
        <v>4504425757</v>
      </c>
      <c r="E157" s="6">
        <v>45439</v>
      </c>
      <c r="F157" s="7">
        <v>46533</v>
      </c>
      <c r="G157" s="7">
        <f t="shared" si="9"/>
        <v>45657</v>
      </c>
      <c r="H157" s="8">
        <v>35.97</v>
      </c>
      <c r="I157" s="8">
        <v>-27.97</v>
      </c>
      <c r="J157" s="9">
        <v>8</v>
      </c>
      <c r="K157" s="3">
        <v>36</v>
      </c>
      <c r="L157" s="17">
        <f t="shared" si="7"/>
        <v>0.36363636363636365</v>
      </c>
      <c r="M157" s="17">
        <v>0.23</v>
      </c>
      <c r="N157" s="17">
        <v>0.23</v>
      </c>
      <c r="O157" s="13">
        <v>121118864</v>
      </c>
      <c r="P157" s="13">
        <v>121118864</v>
      </c>
      <c r="Q157" s="13">
        <v>1036017924.11</v>
      </c>
      <c r="R157" s="13">
        <v>1036017924.11</v>
      </c>
      <c r="S157" s="13">
        <v>914899060.11000001</v>
      </c>
      <c r="T157" s="13">
        <v>0</v>
      </c>
      <c r="U157" s="14">
        <v>8.5537288733982848</v>
      </c>
      <c r="V157" s="15">
        <v>1</v>
      </c>
      <c r="W157" s="16">
        <v>526603756.52173907</v>
      </c>
      <c r="X157" s="16">
        <v>-3977822000.478261</v>
      </c>
    </row>
    <row r="158" spans="1:24" x14ac:dyDescent="0.45">
      <c r="A158" s="3" t="s">
        <v>14</v>
      </c>
      <c r="B158" s="3" t="s">
        <v>76</v>
      </c>
      <c r="C158" s="3" t="s">
        <v>101</v>
      </c>
      <c r="D158" s="5">
        <v>4504425757</v>
      </c>
      <c r="E158" s="6">
        <v>45439</v>
      </c>
      <c r="F158" s="7">
        <v>46533</v>
      </c>
      <c r="G158" s="7">
        <f t="shared" si="9"/>
        <v>45688</v>
      </c>
      <c r="H158" s="8">
        <v>35.97</v>
      </c>
      <c r="I158" s="8">
        <v>-26.97</v>
      </c>
      <c r="J158" s="9">
        <v>9</v>
      </c>
      <c r="K158" s="3">
        <v>36</v>
      </c>
      <c r="L158" s="17">
        <f t="shared" si="7"/>
        <v>0.40909090909090912</v>
      </c>
      <c r="M158" s="17">
        <v>0.26</v>
      </c>
      <c r="N158" s="17">
        <v>0.26</v>
      </c>
      <c r="O158" s="13">
        <v>121209264</v>
      </c>
      <c r="P158" s="13">
        <v>121209264</v>
      </c>
      <c r="Q158" s="13">
        <v>1171150696.8199999</v>
      </c>
      <c r="R158" s="13">
        <v>1171150696.8199999</v>
      </c>
      <c r="S158" s="13">
        <v>1049941432.8199999</v>
      </c>
      <c r="T158" s="13">
        <v>0</v>
      </c>
      <c r="U158" s="14">
        <v>9.6622210066385676</v>
      </c>
      <c r="V158" s="15">
        <v>1</v>
      </c>
      <c r="W158" s="16">
        <v>466189476.92307699</v>
      </c>
      <c r="X158" s="16">
        <v>-4038236280.0769229</v>
      </c>
    </row>
    <row r="159" spans="1:24" x14ac:dyDescent="0.45">
      <c r="A159" s="3" t="s">
        <v>14</v>
      </c>
      <c r="B159" s="3" t="s">
        <v>76</v>
      </c>
      <c r="C159" s="3" t="s">
        <v>101</v>
      </c>
      <c r="D159" s="5">
        <v>4504425757</v>
      </c>
      <c r="E159" s="6">
        <v>45439</v>
      </c>
      <c r="F159" s="7">
        <v>46533</v>
      </c>
      <c r="G159" s="7">
        <f t="shared" si="9"/>
        <v>45716</v>
      </c>
      <c r="H159" s="8">
        <v>35.97</v>
      </c>
      <c r="I159" s="8">
        <v>-25.97</v>
      </c>
      <c r="J159" s="9">
        <v>10</v>
      </c>
      <c r="K159" s="3">
        <v>36</v>
      </c>
      <c r="L159" s="17">
        <f t="shared" si="7"/>
        <v>0.45454545454545453</v>
      </c>
      <c r="M159" s="17">
        <v>0.29000000000000004</v>
      </c>
      <c r="N159" s="17">
        <v>0.28999999999999998</v>
      </c>
      <c r="O159" s="13">
        <v>121209264</v>
      </c>
      <c r="P159" s="13">
        <v>121209264</v>
      </c>
      <c r="Q159" s="13">
        <v>1306283469.53</v>
      </c>
      <c r="R159" s="13">
        <v>1306283469.5300002</v>
      </c>
      <c r="S159" s="13">
        <v>1185074205.53</v>
      </c>
      <c r="T159" s="13">
        <v>0</v>
      </c>
      <c r="U159" s="14">
        <v>10.777092661250711</v>
      </c>
      <c r="V159" s="15">
        <v>0.99999999999999978</v>
      </c>
      <c r="W159" s="16">
        <v>417962979.31034482</v>
      </c>
      <c r="X159" s="16">
        <v>-4086462777.6896553</v>
      </c>
    </row>
    <row r="160" spans="1:24" x14ac:dyDescent="0.45">
      <c r="A160" s="3" t="s">
        <v>14</v>
      </c>
      <c r="B160" s="3" t="s">
        <v>76</v>
      </c>
      <c r="C160" s="3" t="s">
        <v>101</v>
      </c>
      <c r="D160" s="5">
        <v>4504425757</v>
      </c>
      <c r="E160" s="6">
        <v>45439</v>
      </c>
      <c r="F160" s="7">
        <v>46533</v>
      </c>
      <c r="G160" s="7">
        <f t="shared" si="9"/>
        <v>45747</v>
      </c>
      <c r="H160" s="8">
        <v>35.97</v>
      </c>
      <c r="I160" s="8">
        <v>-24.97</v>
      </c>
      <c r="J160" s="9">
        <v>11</v>
      </c>
      <c r="K160" s="3">
        <v>36</v>
      </c>
      <c r="L160" s="17">
        <f t="shared" si="7"/>
        <v>0.5</v>
      </c>
      <c r="M160" s="17">
        <v>0.32000000000000006</v>
      </c>
      <c r="N160" s="17">
        <v>0.32</v>
      </c>
      <c r="O160" s="13">
        <v>121209264</v>
      </c>
      <c r="P160" s="13">
        <v>121209264</v>
      </c>
      <c r="Q160" s="13">
        <v>1441416242.24</v>
      </c>
      <c r="R160" s="13">
        <v>1441416242.2400002</v>
      </c>
      <c r="S160" s="13">
        <v>1320206978.24</v>
      </c>
      <c r="T160" s="13">
        <v>0</v>
      </c>
      <c r="U160" s="14">
        <v>11.891964315862854</v>
      </c>
      <c r="V160" s="15">
        <v>0.99999999999999989</v>
      </c>
      <c r="W160" s="16">
        <v>378778950</v>
      </c>
      <c r="X160" s="16">
        <v>-4125646807</v>
      </c>
    </row>
    <row r="161" spans="1:24" x14ac:dyDescent="0.45">
      <c r="A161" s="3" t="s">
        <v>14</v>
      </c>
      <c r="B161" s="3" t="s">
        <v>76</v>
      </c>
      <c r="C161" s="3" t="s">
        <v>101</v>
      </c>
      <c r="D161" s="5">
        <v>4504425757</v>
      </c>
      <c r="E161" s="6">
        <v>45439</v>
      </c>
      <c r="F161" s="7">
        <v>46533</v>
      </c>
      <c r="G161" s="7">
        <f t="shared" si="9"/>
        <v>45777</v>
      </c>
      <c r="H161" s="8">
        <v>35.97</v>
      </c>
      <c r="I161" s="8">
        <v>-23.97</v>
      </c>
      <c r="J161" s="9">
        <v>12</v>
      </c>
      <c r="K161" s="3">
        <v>36</v>
      </c>
      <c r="L161" s="17">
        <f t="shared" si="7"/>
        <v>0.54545454545454541</v>
      </c>
      <c r="M161" s="17">
        <v>0.35000000000000009</v>
      </c>
      <c r="N161" s="17">
        <v>0.35</v>
      </c>
      <c r="O161" s="13">
        <v>121209264</v>
      </c>
      <c r="P161" s="13">
        <v>121209264</v>
      </c>
      <c r="Q161" s="13">
        <v>1576549014.9499998</v>
      </c>
      <c r="R161" s="13">
        <v>1576549014.9500003</v>
      </c>
      <c r="S161" s="13">
        <v>1455339750.9499998</v>
      </c>
      <c r="T161" s="13">
        <v>0</v>
      </c>
      <c r="U161" s="14">
        <v>13.006835970474995</v>
      </c>
      <c r="V161" s="15">
        <v>0.99999999999999967</v>
      </c>
      <c r="W161" s="16">
        <v>346312182.85714287</v>
      </c>
      <c r="X161" s="16">
        <v>-4158113574.1428571</v>
      </c>
    </row>
    <row r="162" spans="1:24" x14ac:dyDescent="0.45">
      <c r="A162" s="3" t="s">
        <v>14</v>
      </c>
      <c r="B162" s="3" t="s">
        <v>76</v>
      </c>
      <c r="C162" s="3" t="s">
        <v>101</v>
      </c>
      <c r="D162" s="5">
        <v>4504425757</v>
      </c>
      <c r="E162" s="6">
        <v>45439</v>
      </c>
      <c r="F162" s="7">
        <v>46533</v>
      </c>
      <c r="G162" s="7">
        <f t="shared" si="9"/>
        <v>45808</v>
      </c>
      <c r="H162" s="8">
        <v>35.97</v>
      </c>
      <c r="I162" s="8">
        <v>-22.97</v>
      </c>
      <c r="J162" s="9">
        <v>13</v>
      </c>
      <c r="K162" s="3">
        <v>36</v>
      </c>
      <c r="L162" s="17">
        <f t="shared" si="7"/>
        <v>0.59090909090909094</v>
      </c>
      <c r="M162" s="17">
        <v>0.38000000000000012</v>
      </c>
      <c r="N162" s="17">
        <v>0.38</v>
      </c>
      <c r="O162" s="13">
        <v>121209264</v>
      </c>
      <c r="P162" s="13">
        <v>121209264</v>
      </c>
      <c r="Q162" s="13">
        <v>1711681787.6600001</v>
      </c>
      <c r="R162" s="13">
        <v>1711681787.6600006</v>
      </c>
      <c r="S162" s="13">
        <v>1590472523.6600001</v>
      </c>
      <c r="T162" s="13">
        <v>0</v>
      </c>
      <c r="U162" s="14">
        <v>14.12170762508714</v>
      </c>
      <c r="V162" s="15">
        <v>0.99999999999999967</v>
      </c>
      <c r="W162" s="16">
        <v>318971747.36842102</v>
      </c>
      <c r="X162" s="16">
        <v>-4185454009.6315789</v>
      </c>
    </row>
    <row r="163" spans="1:24" x14ac:dyDescent="0.45">
      <c r="A163" s="3" t="s">
        <v>14</v>
      </c>
      <c r="B163" s="3" t="s">
        <v>76</v>
      </c>
      <c r="C163" s="3" t="s">
        <v>101</v>
      </c>
      <c r="D163" s="5">
        <v>4504425757</v>
      </c>
      <c r="E163" s="6">
        <v>45439</v>
      </c>
      <c r="F163" s="7">
        <v>46533</v>
      </c>
      <c r="G163" s="7">
        <f t="shared" si="9"/>
        <v>45838</v>
      </c>
      <c r="H163" s="8">
        <v>35.97</v>
      </c>
      <c r="I163" s="8">
        <v>-21.97</v>
      </c>
      <c r="J163" s="9">
        <v>14</v>
      </c>
      <c r="K163" s="3">
        <v>36</v>
      </c>
      <c r="L163" s="17">
        <f t="shared" si="7"/>
        <v>0.63636363636363635</v>
      </c>
      <c r="M163" s="17">
        <v>0.41000000000000014</v>
      </c>
      <c r="N163" s="17">
        <v>0.42</v>
      </c>
      <c r="O163" s="13">
        <v>121209264</v>
      </c>
      <c r="P163" s="13">
        <v>121209264</v>
      </c>
      <c r="Q163" s="13">
        <v>1891858817.9399998</v>
      </c>
      <c r="R163" s="13">
        <v>1846814560.3700006</v>
      </c>
      <c r="S163" s="13">
        <v>1770649553.9399998</v>
      </c>
      <c r="T163" s="13">
        <v>45044257.569999218</v>
      </c>
      <c r="U163" s="14">
        <v>15.608203164569995</v>
      </c>
      <c r="V163" s="15">
        <v>1.0243902439024386</v>
      </c>
      <c r="W163" s="16">
        <v>288593485.71428573</v>
      </c>
      <c r="X163" s="16">
        <v>-4215832271.2857141</v>
      </c>
    </row>
    <row r="164" spans="1:24" x14ac:dyDescent="0.45">
      <c r="A164" s="3" t="s">
        <v>14</v>
      </c>
      <c r="B164" s="3" t="s">
        <v>76</v>
      </c>
      <c r="C164" s="3" t="s">
        <v>101</v>
      </c>
      <c r="D164" s="5">
        <v>4504425757</v>
      </c>
      <c r="E164" s="6">
        <v>45439</v>
      </c>
      <c r="F164" s="7">
        <v>46533</v>
      </c>
      <c r="G164" s="7">
        <f t="shared" si="9"/>
        <v>45869</v>
      </c>
      <c r="H164" s="8">
        <v>35.97</v>
      </c>
      <c r="I164" s="8">
        <v>-20.97</v>
      </c>
      <c r="J164" s="9">
        <v>15</v>
      </c>
      <c r="K164" s="3">
        <v>36</v>
      </c>
      <c r="L164" s="17">
        <f t="shared" si="7"/>
        <v>0.68181818181818177</v>
      </c>
      <c r="M164" s="17">
        <v>0.44000000000000017</v>
      </c>
      <c r="N164" s="17">
        <v>0.45</v>
      </c>
      <c r="O164" s="13">
        <v>121209264</v>
      </c>
      <c r="P164" s="13">
        <v>121209264</v>
      </c>
      <c r="Q164" s="13">
        <v>2026991590.6500001</v>
      </c>
      <c r="R164" s="13">
        <v>1981947333.0800009</v>
      </c>
      <c r="S164" s="13">
        <v>1905782326.6500001</v>
      </c>
      <c r="T164" s="13">
        <v>45044257.569999218</v>
      </c>
      <c r="U164" s="14">
        <v>16.723074819182138</v>
      </c>
      <c r="V164" s="15">
        <v>1.0227272727272723</v>
      </c>
      <c r="W164" s="16">
        <v>269353920</v>
      </c>
      <c r="X164" s="16">
        <v>-4235071837</v>
      </c>
    </row>
    <row r="165" spans="1:24" x14ac:dyDescent="0.45">
      <c r="A165" s="3" t="s">
        <v>14</v>
      </c>
      <c r="B165" s="3" t="s">
        <v>76</v>
      </c>
      <c r="C165" s="3" t="s">
        <v>101</v>
      </c>
      <c r="D165" s="5">
        <v>4504425757</v>
      </c>
      <c r="E165" s="6">
        <v>45439</v>
      </c>
      <c r="F165" s="7">
        <v>46533</v>
      </c>
      <c r="G165" s="7">
        <f t="shared" si="9"/>
        <v>45900</v>
      </c>
      <c r="H165" s="8">
        <v>35.97</v>
      </c>
      <c r="I165" s="8">
        <v>-19.97</v>
      </c>
      <c r="J165" s="9">
        <v>16</v>
      </c>
      <c r="K165" s="3">
        <v>36</v>
      </c>
      <c r="L165" s="17">
        <f t="shared" si="7"/>
        <v>0.72727272727272729</v>
      </c>
      <c r="M165" s="17">
        <v>0.4700000000000002</v>
      </c>
      <c r="N165" s="17">
        <v>0.48</v>
      </c>
      <c r="O165" s="13">
        <v>121209264</v>
      </c>
      <c r="P165" s="13">
        <v>121209264</v>
      </c>
      <c r="Q165" s="13">
        <v>2162124363.3600001</v>
      </c>
      <c r="R165" s="13">
        <v>2117080105.7900009</v>
      </c>
      <c r="S165" s="13">
        <v>2040915099.3600001</v>
      </c>
      <c r="T165" s="13">
        <v>45044257.569999218</v>
      </c>
      <c r="U165" s="14">
        <v>17.837946473794283</v>
      </c>
      <c r="V165" s="15">
        <v>1.0212765957446805</v>
      </c>
      <c r="W165" s="16">
        <v>252519299.99999997</v>
      </c>
      <c r="X165" s="16">
        <v>-4251906457</v>
      </c>
    </row>
    <row r="166" spans="1:24" x14ac:dyDescent="0.45">
      <c r="A166" s="3" t="s">
        <v>14</v>
      </c>
      <c r="B166" s="3" t="s">
        <v>76</v>
      </c>
      <c r="C166" s="3" t="s">
        <v>101</v>
      </c>
      <c r="D166" s="5">
        <v>4504425757</v>
      </c>
      <c r="E166" s="6">
        <v>45439</v>
      </c>
      <c r="F166" s="7">
        <v>46533</v>
      </c>
      <c r="G166" s="7">
        <f t="shared" si="9"/>
        <v>45930</v>
      </c>
      <c r="H166" s="8">
        <v>35.97</v>
      </c>
      <c r="I166" s="8">
        <v>-18.97</v>
      </c>
      <c r="J166" s="9">
        <v>17</v>
      </c>
      <c r="K166" s="3">
        <v>36</v>
      </c>
      <c r="L166" s="17">
        <f t="shared" si="7"/>
        <v>0.77272727272727271</v>
      </c>
      <c r="M166" s="17">
        <v>0.50000000000000022</v>
      </c>
      <c r="N166" s="17">
        <v>0.5</v>
      </c>
      <c r="O166" s="13">
        <v>121209264</v>
      </c>
      <c r="P166" s="13">
        <v>121209264</v>
      </c>
      <c r="Q166" s="13">
        <v>2252212878.5</v>
      </c>
      <c r="R166" s="13">
        <v>2252212878.500001</v>
      </c>
      <c r="S166" s="13">
        <v>2131003614.5</v>
      </c>
      <c r="T166" s="13">
        <v>0</v>
      </c>
      <c r="U166" s="14">
        <v>18.581194243535709</v>
      </c>
      <c r="V166" s="15">
        <v>0.99999999999999956</v>
      </c>
      <c r="W166" s="16">
        <v>242418528</v>
      </c>
      <c r="X166" s="16">
        <v>-4262007229</v>
      </c>
    </row>
    <row r="167" spans="1:24" x14ac:dyDescent="0.45">
      <c r="A167" s="3" t="s">
        <v>14</v>
      </c>
      <c r="B167" s="3" t="s">
        <v>76</v>
      </c>
      <c r="C167" s="3" t="s">
        <v>101</v>
      </c>
      <c r="D167" s="5">
        <v>4504425757</v>
      </c>
      <c r="E167" s="6">
        <v>45439</v>
      </c>
      <c r="F167" s="7">
        <v>46533</v>
      </c>
      <c r="G167" s="7">
        <f t="shared" si="9"/>
        <v>45961</v>
      </c>
      <c r="H167" s="8">
        <v>35.97</v>
      </c>
      <c r="I167" s="8">
        <v>-17.97</v>
      </c>
      <c r="J167" s="9">
        <v>18</v>
      </c>
      <c r="K167" s="3">
        <v>36</v>
      </c>
      <c r="L167" s="17">
        <f t="shared" si="7"/>
        <v>0.81818181818181823</v>
      </c>
      <c r="M167" s="17">
        <v>0.53000000000000025</v>
      </c>
      <c r="N167" s="17">
        <v>0.53</v>
      </c>
      <c r="O167" s="13">
        <v>121209264</v>
      </c>
      <c r="P167" s="13">
        <v>121209264</v>
      </c>
      <c r="Q167" s="13">
        <v>2387345651.21</v>
      </c>
      <c r="R167" s="13">
        <v>2387345651.210001</v>
      </c>
      <c r="S167" s="13">
        <v>2266136387.21</v>
      </c>
      <c r="T167" s="13">
        <v>0</v>
      </c>
      <c r="U167" s="14">
        <v>19.69606589814785</v>
      </c>
      <c r="V167" s="15">
        <v>0.99999999999999956</v>
      </c>
      <c r="W167" s="16">
        <v>228696724.52830189</v>
      </c>
      <c r="X167" s="16">
        <v>-4275729032.4716983</v>
      </c>
    </row>
    <row r="168" spans="1:24" x14ac:dyDescent="0.45">
      <c r="A168" s="3" t="s">
        <v>14</v>
      </c>
      <c r="B168" s="3" t="s">
        <v>76</v>
      </c>
      <c r="C168" s="3" t="s">
        <v>101</v>
      </c>
      <c r="D168" s="5">
        <v>4504425757</v>
      </c>
      <c r="E168" s="6">
        <v>45439</v>
      </c>
      <c r="F168" s="7">
        <v>46533</v>
      </c>
      <c r="G168" s="7">
        <f t="shared" si="9"/>
        <v>45991</v>
      </c>
      <c r="H168" s="8">
        <v>35.97</v>
      </c>
      <c r="I168" s="8">
        <v>-16.97</v>
      </c>
      <c r="J168" s="9">
        <v>19</v>
      </c>
      <c r="K168" s="3">
        <v>36</v>
      </c>
      <c r="L168" s="17">
        <f t="shared" si="7"/>
        <v>0.86363636363636365</v>
      </c>
      <c r="M168" s="17">
        <v>0.56000000000000028</v>
      </c>
      <c r="N168" s="17">
        <v>0.56000000000000005</v>
      </c>
      <c r="O168" s="13">
        <v>121209264</v>
      </c>
      <c r="P168" s="13">
        <v>121209264</v>
      </c>
      <c r="Q168" s="13">
        <v>2522478423.9200001</v>
      </c>
      <c r="R168" s="13">
        <v>2522478423.920001</v>
      </c>
      <c r="S168" s="13">
        <v>2401269159.9200001</v>
      </c>
      <c r="T168" s="13">
        <v>0</v>
      </c>
      <c r="U168" s="14">
        <v>20.810937552759995</v>
      </c>
      <c r="V168" s="15">
        <v>0.99999999999999967</v>
      </c>
      <c r="W168" s="16">
        <v>216445114.28571427</v>
      </c>
      <c r="X168" s="16">
        <v>-4287980642.7142859</v>
      </c>
    </row>
    <row r="169" spans="1:24" x14ac:dyDescent="0.45">
      <c r="A169" s="3" t="s">
        <v>14</v>
      </c>
      <c r="B169" s="3" t="s">
        <v>76</v>
      </c>
      <c r="C169" s="3" t="s">
        <v>101</v>
      </c>
      <c r="D169" s="5">
        <v>4504425757</v>
      </c>
      <c r="E169" s="6">
        <v>45439</v>
      </c>
      <c r="F169" s="7">
        <v>46533</v>
      </c>
      <c r="G169" s="7">
        <f t="shared" si="9"/>
        <v>46022</v>
      </c>
      <c r="H169" s="8">
        <v>35.97</v>
      </c>
      <c r="I169" s="8">
        <v>-15.969999999999999</v>
      </c>
      <c r="J169" s="9">
        <v>20</v>
      </c>
      <c r="K169" s="3">
        <v>36</v>
      </c>
      <c r="L169" s="17">
        <f t="shared" si="7"/>
        <v>0.90909090909090906</v>
      </c>
      <c r="M169" s="17">
        <v>0.5900000000000003</v>
      </c>
      <c r="N169" s="17">
        <v>0.59</v>
      </c>
      <c r="O169" s="13">
        <v>121209264</v>
      </c>
      <c r="P169" s="13">
        <v>121209264</v>
      </c>
      <c r="Q169" s="13">
        <v>2657611196.6299996</v>
      </c>
      <c r="R169" s="13">
        <v>2657611196.6300015</v>
      </c>
      <c r="S169" s="13">
        <v>2536401932.6299996</v>
      </c>
      <c r="T169" s="13">
        <v>0</v>
      </c>
      <c r="U169" s="14">
        <v>21.925809207372133</v>
      </c>
      <c r="V169" s="15">
        <v>0.99999999999999933</v>
      </c>
      <c r="W169" s="16">
        <v>205439430.50847462</v>
      </c>
      <c r="X169" s="16">
        <v>-4298986326.4915257</v>
      </c>
    </row>
    <row r="170" spans="1:24" x14ac:dyDescent="0.45">
      <c r="A170" s="3" t="s">
        <v>14</v>
      </c>
      <c r="B170" s="3" t="s">
        <v>76</v>
      </c>
      <c r="C170" s="3" t="s">
        <v>101</v>
      </c>
      <c r="D170" s="5">
        <v>4504425757</v>
      </c>
      <c r="E170" s="6">
        <v>45439</v>
      </c>
      <c r="F170" s="7">
        <v>46533</v>
      </c>
      <c r="G170" s="7">
        <f t="shared" si="9"/>
        <v>46053</v>
      </c>
      <c r="H170" s="8">
        <v>35.97</v>
      </c>
      <c r="I170" s="8">
        <v>-14.969999999999999</v>
      </c>
      <c r="J170" s="9">
        <v>21</v>
      </c>
      <c r="K170" s="3">
        <v>36</v>
      </c>
      <c r="L170" s="17">
        <f t="shared" si="7"/>
        <v>0.95454545454545459</v>
      </c>
      <c r="M170" s="17">
        <v>0.62000000000000033</v>
      </c>
      <c r="N170" s="17">
        <v>0.61</v>
      </c>
      <c r="O170" s="13">
        <v>121209264</v>
      </c>
      <c r="P170" s="13">
        <v>121209264</v>
      </c>
      <c r="Q170" s="13">
        <v>2747699711.77</v>
      </c>
      <c r="R170" s="13">
        <v>2792743969.3400016</v>
      </c>
      <c r="S170" s="13">
        <v>2626490447.77</v>
      </c>
      <c r="T170" s="13">
        <v>-45044257.570001602</v>
      </c>
      <c r="U170" s="14">
        <v>22.669056977113563</v>
      </c>
      <c r="V170" s="15">
        <v>0.98387096774193494</v>
      </c>
      <c r="W170" s="16">
        <v>198703711.47540987</v>
      </c>
      <c r="X170" s="16">
        <v>-4305722045.5245905</v>
      </c>
    </row>
    <row r="171" spans="1:24" x14ac:dyDescent="0.45">
      <c r="A171" s="3" t="s">
        <v>14</v>
      </c>
      <c r="B171" s="3" t="s">
        <v>76</v>
      </c>
      <c r="C171" s="3" t="s">
        <v>101</v>
      </c>
      <c r="D171" s="5">
        <v>4504425757</v>
      </c>
      <c r="E171" s="6">
        <v>45439</v>
      </c>
      <c r="F171" s="7">
        <v>46533</v>
      </c>
      <c r="G171" s="7">
        <f t="shared" si="9"/>
        <v>46081</v>
      </c>
      <c r="H171" s="8">
        <v>35.97</v>
      </c>
      <c r="I171" s="8">
        <v>-13.969999999999999</v>
      </c>
      <c r="J171" s="9">
        <v>22</v>
      </c>
      <c r="K171" s="3">
        <v>36</v>
      </c>
      <c r="L171" s="17">
        <f t="shared" si="7"/>
        <v>1</v>
      </c>
      <c r="M171" s="17">
        <v>0.65000000000000036</v>
      </c>
      <c r="N171" s="17">
        <v>0.67</v>
      </c>
      <c r="O171" s="13">
        <v>121209264</v>
      </c>
      <c r="P171" s="13">
        <v>121209264</v>
      </c>
      <c r="Q171" s="13">
        <v>3017965257.1900001</v>
      </c>
      <c r="R171" s="13">
        <v>2927876742.0500016</v>
      </c>
      <c r="S171" s="13">
        <v>2896755993.1900001</v>
      </c>
      <c r="T171" s="13">
        <v>90088515.139998436</v>
      </c>
      <c r="U171" s="14">
        <v>24.898800286337849</v>
      </c>
      <c r="V171" s="15">
        <v>1.0307692307692302</v>
      </c>
      <c r="W171" s="16">
        <v>180909349.25373134</v>
      </c>
      <c r="X171" s="16">
        <v>-4323516407.7462683</v>
      </c>
    </row>
    <row r="172" spans="1:24" x14ac:dyDescent="0.45">
      <c r="A172" s="3" t="s">
        <v>66</v>
      </c>
      <c r="B172" s="3" t="s">
        <v>77</v>
      </c>
      <c r="C172" s="3" t="s">
        <v>101</v>
      </c>
      <c r="D172" s="5">
        <v>164669199</v>
      </c>
      <c r="E172" s="6">
        <v>45992</v>
      </c>
      <c r="F172" s="7">
        <v>46233</v>
      </c>
      <c r="G172" s="7">
        <f t="shared" si="9"/>
        <v>46022</v>
      </c>
      <c r="H172" s="8">
        <v>7.97</v>
      </c>
      <c r="I172" s="8">
        <v>-6.97</v>
      </c>
      <c r="J172" s="9">
        <v>1</v>
      </c>
      <c r="K172" s="3">
        <v>8</v>
      </c>
      <c r="L172" s="17">
        <f t="shared" si="7"/>
        <v>0.5</v>
      </c>
      <c r="M172" s="17">
        <v>0.1</v>
      </c>
      <c r="N172" s="17">
        <v>0.1</v>
      </c>
      <c r="O172" s="13">
        <v>512538627</v>
      </c>
      <c r="P172" s="13">
        <v>512538627</v>
      </c>
      <c r="Q172" s="13">
        <v>16466919.9</v>
      </c>
      <c r="R172" s="13">
        <v>16466919.9</v>
      </c>
      <c r="S172" s="13">
        <v>-496071707.10000002</v>
      </c>
      <c r="T172" s="13">
        <v>0</v>
      </c>
      <c r="U172" s="14">
        <v>3.2128153923509067E-2</v>
      </c>
      <c r="V172" s="15">
        <v>1</v>
      </c>
      <c r="W172" s="16">
        <v>5125386270</v>
      </c>
      <c r="X172" s="16">
        <v>4960717071</v>
      </c>
    </row>
    <row r="173" spans="1:24" x14ac:dyDescent="0.45">
      <c r="A173" s="3" t="s">
        <v>66</v>
      </c>
      <c r="B173" s="3" t="s">
        <v>77</v>
      </c>
      <c r="C173" s="3" t="s">
        <v>101</v>
      </c>
      <c r="D173" s="5">
        <v>164669199</v>
      </c>
      <c r="E173" s="6">
        <v>45992</v>
      </c>
      <c r="F173" s="7">
        <v>46233</v>
      </c>
      <c r="G173" s="7">
        <f t="shared" si="9"/>
        <v>46053</v>
      </c>
      <c r="H173" s="8">
        <v>7.97</v>
      </c>
      <c r="I173" s="8">
        <v>-5.97</v>
      </c>
      <c r="J173" s="9">
        <v>2</v>
      </c>
      <c r="K173" s="3">
        <v>8</v>
      </c>
      <c r="L173" s="17">
        <f t="shared" si="7"/>
        <v>1</v>
      </c>
      <c r="M173" s="17">
        <v>0.2</v>
      </c>
      <c r="N173" s="17">
        <v>0.2</v>
      </c>
      <c r="O173" s="13">
        <v>352963765</v>
      </c>
      <c r="P173" s="13">
        <v>352963765</v>
      </c>
      <c r="Q173" s="13">
        <v>32933839.800000001</v>
      </c>
      <c r="R173" s="13">
        <v>32933839.800000001</v>
      </c>
      <c r="S173" s="13">
        <v>-320029925.19999999</v>
      </c>
      <c r="T173" s="13">
        <v>0</v>
      </c>
      <c r="U173" s="14">
        <v>9.3306574401482822E-2</v>
      </c>
      <c r="V173" s="15">
        <v>1</v>
      </c>
      <c r="W173" s="16">
        <v>1764818825</v>
      </c>
      <c r="X173" s="16">
        <v>1600149626</v>
      </c>
    </row>
    <row r="174" spans="1:24" x14ac:dyDescent="0.45">
      <c r="A174" s="3" t="s">
        <v>73</v>
      </c>
      <c r="B174" s="3" t="s">
        <v>77</v>
      </c>
      <c r="C174" s="3" t="s">
        <v>102</v>
      </c>
      <c r="D174" s="5">
        <v>233040579</v>
      </c>
      <c r="E174" s="6">
        <v>46054</v>
      </c>
      <c r="F174" s="7">
        <v>46387</v>
      </c>
      <c r="G174" s="7">
        <f t="shared" si="9"/>
        <v>46081</v>
      </c>
      <c r="H174" s="8">
        <v>11</v>
      </c>
      <c r="I174" s="8">
        <v>-10</v>
      </c>
      <c r="J174" s="9">
        <v>1</v>
      </c>
      <c r="K174" s="3">
        <v>2</v>
      </c>
      <c r="L174" s="17">
        <f t="shared" si="7"/>
        <v>1</v>
      </c>
      <c r="M174" s="17">
        <v>0.08</v>
      </c>
      <c r="N174" s="17">
        <v>5.0000000000000001E-3</v>
      </c>
      <c r="O174" s="13">
        <v>5546224</v>
      </c>
      <c r="P174" s="13">
        <v>5546224</v>
      </c>
      <c r="Q174" s="13">
        <v>1165202.895</v>
      </c>
      <c r="R174" s="13">
        <v>18643246.32</v>
      </c>
      <c r="S174" s="13">
        <v>-4381021.1050000004</v>
      </c>
      <c r="T174" s="13">
        <v>-17478043.425000001</v>
      </c>
      <c r="U174" s="14">
        <v>0.21008940407022869</v>
      </c>
      <c r="V174" s="15">
        <v>6.25E-2</v>
      </c>
      <c r="W174" s="16">
        <v>1109244800</v>
      </c>
      <c r="X174" s="16">
        <v>876204221</v>
      </c>
    </row>
    <row r="175" spans="1:24" x14ac:dyDescent="0.45">
      <c r="A175" s="3" t="s">
        <v>23</v>
      </c>
      <c r="B175" s="3" t="s">
        <v>83</v>
      </c>
      <c r="C175" s="3" t="s">
        <v>102</v>
      </c>
      <c r="D175" s="5">
        <v>410789543</v>
      </c>
      <c r="E175" s="6">
        <v>45536</v>
      </c>
      <c r="F175" s="7">
        <v>45597</v>
      </c>
      <c r="G175" s="7">
        <f t="shared" si="9"/>
        <v>45565</v>
      </c>
      <c r="H175" s="8">
        <v>2</v>
      </c>
      <c r="I175" s="8">
        <v>-1</v>
      </c>
      <c r="J175" s="9">
        <v>1</v>
      </c>
      <c r="K175" s="3">
        <v>3</v>
      </c>
      <c r="L175" s="17">
        <f t="shared" si="7"/>
        <v>0.33333333333333331</v>
      </c>
      <c r="M175" s="17">
        <v>0.35</v>
      </c>
      <c r="N175" s="17">
        <v>0.35</v>
      </c>
      <c r="O175" s="13">
        <v>-18501204</v>
      </c>
      <c r="P175" s="13">
        <v>-18501204</v>
      </c>
      <c r="Q175" s="13">
        <v>143776340.04999998</v>
      </c>
      <c r="R175" s="13">
        <v>143776340.04999998</v>
      </c>
      <c r="S175" s="13">
        <v>162277544.04999998</v>
      </c>
      <c r="T175" s="13">
        <v>0</v>
      </c>
      <c r="U175" s="14">
        <v>-7.7711882994209445</v>
      </c>
      <c r="V175" s="15">
        <v>1</v>
      </c>
      <c r="W175" s="16">
        <v>-52860582.857142866</v>
      </c>
      <c r="X175" s="16">
        <v>-463650125.85714287</v>
      </c>
    </row>
    <row r="176" spans="1:24" x14ac:dyDescent="0.45">
      <c r="A176" s="3" t="s">
        <v>23</v>
      </c>
      <c r="B176" s="3" t="s">
        <v>83</v>
      </c>
      <c r="C176" s="3" t="s">
        <v>102</v>
      </c>
      <c r="D176" s="5">
        <v>410789543</v>
      </c>
      <c r="E176" s="6">
        <v>45536</v>
      </c>
      <c r="F176" s="7">
        <v>45597</v>
      </c>
      <c r="G176" s="7">
        <f t="shared" si="9"/>
        <v>45596</v>
      </c>
      <c r="H176" s="8">
        <v>2</v>
      </c>
      <c r="I176" s="8">
        <v>0</v>
      </c>
      <c r="J176" s="9">
        <v>2</v>
      </c>
      <c r="K176" s="3">
        <v>3</v>
      </c>
      <c r="L176" s="17">
        <f t="shared" si="7"/>
        <v>0.66666666666666663</v>
      </c>
      <c r="M176" s="17">
        <v>0.75</v>
      </c>
      <c r="N176" s="17">
        <v>0.75</v>
      </c>
      <c r="O176" s="13">
        <v>416243665</v>
      </c>
      <c r="P176" s="13">
        <v>416243665</v>
      </c>
      <c r="Q176" s="13">
        <v>308092157.25</v>
      </c>
      <c r="R176" s="13">
        <v>308092157.25</v>
      </c>
      <c r="S176" s="13">
        <v>-108151507.75</v>
      </c>
      <c r="T176" s="13">
        <v>0</v>
      </c>
      <c r="U176" s="14">
        <v>0.74017260358785275</v>
      </c>
      <c r="V176" s="15">
        <v>1</v>
      </c>
      <c r="W176" s="16">
        <v>554991553.33333337</v>
      </c>
      <c r="X176" s="16">
        <v>144202010.33333337</v>
      </c>
    </row>
    <row r="177" spans="1:24" x14ac:dyDescent="0.45">
      <c r="A177" s="3" t="s">
        <v>23</v>
      </c>
      <c r="B177" s="3" t="s">
        <v>83</v>
      </c>
      <c r="C177" s="3" t="s">
        <v>102</v>
      </c>
      <c r="D177" s="5">
        <v>410789543</v>
      </c>
      <c r="E177" s="6">
        <v>45536</v>
      </c>
      <c r="F177" s="7">
        <v>45597</v>
      </c>
      <c r="G177" s="7">
        <f t="shared" si="9"/>
        <v>45626</v>
      </c>
      <c r="H177" s="8">
        <v>2</v>
      </c>
      <c r="I177" s="8">
        <v>1</v>
      </c>
      <c r="J177" s="9">
        <v>3</v>
      </c>
      <c r="K177" s="3">
        <v>3</v>
      </c>
      <c r="L177" s="17">
        <f t="shared" si="7"/>
        <v>1</v>
      </c>
      <c r="M177" s="17">
        <v>1</v>
      </c>
      <c r="N177" s="17">
        <v>1</v>
      </c>
      <c r="O177" s="13">
        <v>-56497450</v>
      </c>
      <c r="P177" s="13">
        <v>-56497450</v>
      </c>
      <c r="Q177" s="13">
        <v>410789543</v>
      </c>
      <c r="R177" s="13">
        <v>410789543</v>
      </c>
      <c r="S177" s="13">
        <v>467286993</v>
      </c>
      <c r="T177" s="13">
        <v>0</v>
      </c>
      <c r="U177" s="14">
        <v>-7.2709395379791477</v>
      </c>
      <c r="V177" s="15">
        <v>1</v>
      </c>
      <c r="W177" s="16">
        <v>-56497450</v>
      </c>
      <c r="X177" s="16">
        <v>-467286993</v>
      </c>
    </row>
    <row r="178" spans="1:24" x14ac:dyDescent="0.45">
      <c r="A178" s="3" t="s">
        <v>46</v>
      </c>
      <c r="B178" s="3" t="s">
        <v>93</v>
      </c>
      <c r="C178" s="3" t="s">
        <v>101</v>
      </c>
      <c r="D178" s="5">
        <v>6433558115</v>
      </c>
      <c r="E178" s="6">
        <v>45880</v>
      </c>
      <c r="F178" s="7">
        <v>46203</v>
      </c>
      <c r="G178" s="7">
        <f t="shared" si="9"/>
        <v>45900</v>
      </c>
      <c r="H178" s="8">
        <v>10.63</v>
      </c>
      <c r="I178" s="8">
        <v>-9.6300000000000008</v>
      </c>
      <c r="J178" s="9">
        <v>1</v>
      </c>
      <c r="K178" s="3">
        <v>11</v>
      </c>
      <c r="L178" s="17">
        <f t="shared" si="7"/>
        <v>0.16666666666666666</v>
      </c>
      <c r="M178" s="17">
        <v>0.25</v>
      </c>
      <c r="N178" s="17">
        <v>0.25</v>
      </c>
      <c r="O178" s="13">
        <v>986184207</v>
      </c>
      <c r="P178" s="13">
        <v>986184207</v>
      </c>
      <c r="Q178" s="13">
        <v>1608389528.75</v>
      </c>
      <c r="R178" s="13">
        <v>1608389528.75</v>
      </c>
      <c r="S178" s="13">
        <v>622205321.75</v>
      </c>
      <c r="T178" s="13">
        <v>0</v>
      </c>
      <c r="U178" s="14">
        <v>1.6309220096342507</v>
      </c>
      <c r="V178" s="15">
        <v>1</v>
      </c>
      <c r="W178" s="16">
        <v>3944736828.0000005</v>
      </c>
      <c r="X178" s="16">
        <v>-2488821286.9999995</v>
      </c>
    </row>
    <row r="179" spans="1:24" x14ac:dyDescent="0.45">
      <c r="A179" s="3" t="s">
        <v>46</v>
      </c>
      <c r="B179" s="3" t="s">
        <v>93</v>
      </c>
      <c r="C179" s="3" t="s">
        <v>101</v>
      </c>
      <c r="D179" s="5">
        <v>6433558115</v>
      </c>
      <c r="E179" s="6">
        <v>45880</v>
      </c>
      <c r="F179" s="7">
        <v>46203</v>
      </c>
      <c r="G179" s="7">
        <f t="shared" si="9"/>
        <v>45930</v>
      </c>
      <c r="H179" s="8">
        <v>10.63</v>
      </c>
      <c r="I179" s="8">
        <v>-8.6300000000000008</v>
      </c>
      <c r="J179" s="9">
        <v>2</v>
      </c>
      <c r="K179" s="3">
        <v>11</v>
      </c>
      <c r="L179" s="17">
        <f t="shared" si="7"/>
        <v>0.33333333333333331</v>
      </c>
      <c r="M179" s="17">
        <v>0.38</v>
      </c>
      <c r="N179" s="17">
        <v>0.38</v>
      </c>
      <c r="O179" s="13">
        <v>375854197</v>
      </c>
      <c r="P179" s="13">
        <v>375854197</v>
      </c>
      <c r="Q179" s="13">
        <v>2444752083.6999998</v>
      </c>
      <c r="R179" s="13">
        <v>2444752083.6999998</v>
      </c>
      <c r="S179" s="13">
        <v>2068897886.6999998</v>
      </c>
      <c r="T179" s="13">
        <v>0</v>
      </c>
      <c r="U179" s="14">
        <v>6.5045225069017913</v>
      </c>
      <c r="V179" s="15">
        <v>1</v>
      </c>
      <c r="W179" s="16">
        <v>989089992.10526323</v>
      </c>
      <c r="X179" s="16">
        <v>-5444468122.8947372</v>
      </c>
    </row>
    <row r="180" spans="1:24" x14ac:dyDescent="0.45">
      <c r="A180" s="3" t="s">
        <v>46</v>
      </c>
      <c r="B180" s="3" t="s">
        <v>93</v>
      </c>
      <c r="C180" s="3" t="s">
        <v>101</v>
      </c>
      <c r="D180" s="5">
        <v>6433558115</v>
      </c>
      <c r="E180" s="6">
        <v>45880</v>
      </c>
      <c r="F180" s="7">
        <v>46203</v>
      </c>
      <c r="G180" s="7">
        <f t="shared" si="9"/>
        <v>45961</v>
      </c>
      <c r="H180" s="8">
        <v>10.63</v>
      </c>
      <c r="I180" s="8">
        <v>-7.6300000000000008</v>
      </c>
      <c r="J180" s="9">
        <v>3</v>
      </c>
      <c r="K180" s="3">
        <v>11</v>
      </c>
      <c r="L180" s="17">
        <f t="shared" si="7"/>
        <v>0.5</v>
      </c>
      <c r="M180" s="17">
        <v>0.42</v>
      </c>
      <c r="N180" s="17">
        <v>0.42</v>
      </c>
      <c r="O180" s="13">
        <v>460611574</v>
      </c>
      <c r="P180" s="13">
        <v>460611574</v>
      </c>
      <c r="Q180" s="13">
        <v>2702094408.2999997</v>
      </c>
      <c r="R180" s="13">
        <v>2702094408.2999997</v>
      </c>
      <c r="S180" s="13">
        <v>2241482834.2999997</v>
      </c>
      <c r="T180" s="13">
        <v>0</v>
      </c>
      <c r="U180" s="14">
        <v>5.8663189568484437</v>
      </c>
      <c r="V180" s="15">
        <v>1</v>
      </c>
      <c r="W180" s="16">
        <v>1096694223.8095238</v>
      </c>
      <c r="X180" s="16">
        <v>-5336863891.1904764</v>
      </c>
    </row>
    <row r="181" spans="1:24" x14ac:dyDescent="0.45">
      <c r="A181" s="3" t="s">
        <v>46</v>
      </c>
      <c r="B181" s="3" t="s">
        <v>93</v>
      </c>
      <c r="C181" s="3" t="s">
        <v>101</v>
      </c>
      <c r="D181" s="5">
        <v>6433558115</v>
      </c>
      <c r="E181" s="6">
        <v>45880</v>
      </c>
      <c r="F181" s="7">
        <v>46203</v>
      </c>
      <c r="G181" s="7">
        <f t="shared" ref="G181:G226" si="10">EOMONTH(E181,J181-1)</f>
        <v>45991</v>
      </c>
      <c r="H181" s="8">
        <v>10.63</v>
      </c>
      <c r="I181" s="8">
        <v>-6.6300000000000008</v>
      </c>
      <c r="J181" s="9">
        <v>4</v>
      </c>
      <c r="K181" s="3">
        <v>11</v>
      </c>
      <c r="L181" s="17">
        <f t="shared" si="7"/>
        <v>0.66666666666666663</v>
      </c>
      <c r="M181" s="17">
        <v>0.55000000000000004</v>
      </c>
      <c r="N181" s="17">
        <v>0.55000000000000004</v>
      </c>
      <c r="O181" s="13">
        <v>490857921</v>
      </c>
      <c r="P181" s="13">
        <v>490857921</v>
      </c>
      <c r="Q181" s="13">
        <v>3538456963.2500005</v>
      </c>
      <c r="R181" s="13">
        <v>3538456963.2500005</v>
      </c>
      <c r="S181" s="13">
        <v>3047599042.2500005</v>
      </c>
      <c r="T181" s="13">
        <v>0</v>
      </c>
      <c r="U181" s="14">
        <v>7.2087192889569369</v>
      </c>
      <c r="V181" s="15">
        <v>1</v>
      </c>
      <c r="W181" s="16">
        <v>892468947.27272725</v>
      </c>
      <c r="X181" s="16">
        <v>-5541089167.727273</v>
      </c>
    </row>
    <row r="182" spans="1:24" x14ac:dyDescent="0.45">
      <c r="A182" s="3" t="s">
        <v>46</v>
      </c>
      <c r="B182" s="3" t="s">
        <v>93</v>
      </c>
      <c r="C182" s="3" t="s">
        <v>101</v>
      </c>
      <c r="D182" s="5">
        <v>6433558115</v>
      </c>
      <c r="E182" s="6">
        <v>45880</v>
      </c>
      <c r="F182" s="7">
        <v>46203</v>
      </c>
      <c r="G182" s="7">
        <f t="shared" si="10"/>
        <v>46022</v>
      </c>
      <c r="H182" s="8">
        <v>10.63</v>
      </c>
      <c r="I182" s="8">
        <v>-5.6300000000000008</v>
      </c>
      <c r="J182" s="9">
        <v>5</v>
      </c>
      <c r="K182" s="3">
        <v>11</v>
      </c>
      <c r="L182" s="17">
        <f t="shared" si="7"/>
        <v>0.83333333333333337</v>
      </c>
      <c r="M182" s="17">
        <v>0.65</v>
      </c>
      <c r="N182" s="17">
        <v>0.65</v>
      </c>
      <c r="O182" s="13">
        <v>354021088</v>
      </c>
      <c r="P182" s="13">
        <v>354021088</v>
      </c>
      <c r="Q182" s="13">
        <v>4181812774.75</v>
      </c>
      <c r="R182" s="13">
        <v>4181812774.75</v>
      </c>
      <c r="S182" s="13">
        <v>3827791686.75</v>
      </c>
      <c r="T182" s="13">
        <v>0</v>
      </c>
      <c r="U182" s="14">
        <v>11.81232676950024</v>
      </c>
      <c r="V182" s="15">
        <v>1</v>
      </c>
      <c r="W182" s="16">
        <v>544647827.69230771</v>
      </c>
      <c r="X182" s="16">
        <v>-5888910287.3076925</v>
      </c>
    </row>
    <row r="183" spans="1:24" x14ac:dyDescent="0.45">
      <c r="A183" s="3" t="s">
        <v>46</v>
      </c>
      <c r="B183" s="3" t="s">
        <v>93</v>
      </c>
      <c r="C183" s="3" t="s">
        <v>101</v>
      </c>
      <c r="D183" s="5">
        <v>6433558115</v>
      </c>
      <c r="E183" s="6">
        <v>45880</v>
      </c>
      <c r="F183" s="7">
        <v>46203</v>
      </c>
      <c r="G183" s="7">
        <f t="shared" si="10"/>
        <v>46053</v>
      </c>
      <c r="H183" s="8">
        <v>10.63</v>
      </c>
      <c r="I183" s="8">
        <v>-4.6300000000000008</v>
      </c>
      <c r="J183" s="9">
        <v>6</v>
      </c>
      <c r="K183" s="3">
        <v>11</v>
      </c>
      <c r="L183" s="17">
        <f t="shared" si="7"/>
        <v>1</v>
      </c>
      <c r="M183" s="17">
        <v>0.7</v>
      </c>
      <c r="N183" s="17">
        <v>0.7</v>
      </c>
      <c r="O183" s="13">
        <v>1132985975</v>
      </c>
      <c r="P183" s="13">
        <v>1132985975</v>
      </c>
      <c r="Q183" s="13">
        <v>4503490680.5</v>
      </c>
      <c r="R183" s="13">
        <v>4503490680.5</v>
      </c>
      <c r="S183" s="13">
        <v>3370504705.5</v>
      </c>
      <c r="T183" s="13">
        <v>0</v>
      </c>
      <c r="U183" s="14">
        <v>3.9748865209915771</v>
      </c>
      <c r="V183" s="15">
        <v>1</v>
      </c>
      <c r="W183" s="16">
        <v>1618551392.8571429</v>
      </c>
      <c r="X183" s="16">
        <v>-4815006722.1428566</v>
      </c>
    </row>
    <row r="184" spans="1:24" x14ac:dyDescent="0.45">
      <c r="A184" s="3" t="s">
        <v>22</v>
      </c>
      <c r="B184" s="3" t="s">
        <v>86</v>
      </c>
      <c r="C184" s="3" t="s">
        <v>101</v>
      </c>
      <c r="D184" s="5">
        <v>523479413</v>
      </c>
      <c r="E184" s="6">
        <v>45516</v>
      </c>
      <c r="F184" s="7">
        <v>45595</v>
      </c>
      <c r="G184" s="7">
        <f t="shared" si="10"/>
        <v>45535</v>
      </c>
      <c r="H184" s="8">
        <v>2.6</v>
      </c>
      <c r="I184" s="8">
        <v>-1.6</v>
      </c>
      <c r="J184" s="9">
        <v>1</v>
      </c>
      <c r="K184" s="3">
        <v>3</v>
      </c>
      <c r="L184" s="17">
        <f t="shared" si="7"/>
        <v>0.2</v>
      </c>
      <c r="M184" s="17">
        <v>0.35</v>
      </c>
      <c r="N184" s="17">
        <v>0.25</v>
      </c>
      <c r="O184" s="13">
        <v>-97597238</v>
      </c>
      <c r="P184" s="13">
        <v>-97597238</v>
      </c>
      <c r="Q184" s="13">
        <v>130869853.25</v>
      </c>
      <c r="R184" s="13">
        <v>183217794.54999998</v>
      </c>
      <c r="S184" s="13">
        <v>228467091.25</v>
      </c>
      <c r="T184" s="13">
        <v>-52347941.299999982</v>
      </c>
      <c r="U184" s="14">
        <v>-1.3409175908236255</v>
      </c>
      <c r="V184" s="15">
        <v>0.7142857142857143</v>
      </c>
      <c r="W184" s="16">
        <v>-390388952</v>
      </c>
      <c r="X184" s="16">
        <v>-913868365</v>
      </c>
    </row>
    <row r="185" spans="1:24" x14ac:dyDescent="0.45">
      <c r="A185" s="3" t="s">
        <v>22</v>
      </c>
      <c r="B185" s="3" t="s">
        <v>86</v>
      </c>
      <c r="C185" s="3" t="s">
        <v>101</v>
      </c>
      <c r="D185" s="5">
        <v>523479413</v>
      </c>
      <c r="E185" s="6">
        <v>45516</v>
      </c>
      <c r="F185" s="7">
        <v>45595</v>
      </c>
      <c r="G185" s="7">
        <f t="shared" si="10"/>
        <v>45565</v>
      </c>
      <c r="H185" s="8">
        <v>2.6</v>
      </c>
      <c r="I185" s="8">
        <v>-0.60000000000000009</v>
      </c>
      <c r="J185" s="9">
        <v>2</v>
      </c>
      <c r="K185" s="3">
        <v>3</v>
      </c>
      <c r="L185" s="17">
        <f t="shared" si="7"/>
        <v>0.4</v>
      </c>
      <c r="M185" s="17">
        <v>0.75</v>
      </c>
      <c r="N185" s="17">
        <v>0.35</v>
      </c>
      <c r="O185" s="13">
        <v>-113549688</v>
      </c>
      <c r="P185" s="13">
        <v>-113549688</v>
      </c>
      <c r="Q185" s="13">
        <v>183217794.54999998</v>
      </c>
      <c r="R185" s="13">
        <v>392609559.75</v>
      </c>
      <c r="S185" s="13">
        <v>296767482.54999995</v>
      </c>
      <c r="T185" s="13">
        <v>-209391765.20000002</v>
      </c>
      <c r="U185" s="14">
        <v>-1.6135473181573161</v>
      </c>
      <c r="V185" s="15">
        <v>0.46666666666666662</v>
      </c>
      <c r="W185" s="16">
        <v>-324427680.00000006</v>
      </c>
      <c r="X185" s="16">
        <v>-847907093</v>
      </c>
    </row>
    <row r="186" spans="1:24" x14ac:dyDescent="0.45">
      <c r="A186" s="3" t="s">
        <v>22</v>
      </c>
      <c r="B186" s="3" t="s">
        <v>86</v>
      </c>
      <c r="C186" s="3" t="s">
        <v>101</v>
      </c>
      <c r="D186" s="5">
        <v>523479413</v>
      </c>
      <c r="E186" s="6">
        <v>45516</v>
      </c>
      <c r="F186" s="7">
        <v>45595</v>
      </c>
      <c r="G186" s="7">
        <f t="shared" si="10"/>
        <v>45596</v>
      </c>
      <c r="H186" s="8">
        <v>2.6</v>
      </c>
      <c r="I186" s="8">
        <v>0.39999999999999991</v>
      </c>
      <c r="J186" s="9">
        <v>3</v>
      </c>
      <c r="K186" s="3">
        <v>3</v>
      </c>
      <c r="L186" s="17">
        <f t="shared" si="7"/>
        <v>0.6</v>
      </c>
      <c r="M186" s="17">
        <v>1</v>
      </c>
      <c r="N186" s="17">
        <v>0.55000000000000004</v>
      </c>
      <c r="O186" s="13">
        <v>-198061604</v>
      </c>
      <c r="P186" s="13">
        <v>-198061604</v>
      </c>
      <c r="Q186" s="13">
        <v>287913677.15000004</v>
      </c>
      <c r="R186" s="13">
        <v>523479413</v>
      </c>
      <c r="S186" s="13">
        <v>485975281.15000004</v>
      </c>
      <c r="T186" s="13">
        <v>-235565735.84999996</v>
      </c>
      <c r="U186" s="14">
        <v>-1.4536572022813672</v>
      </c>
      <c r="V186" s="15">
        <v>0.55000000000000004</v>
      </c>
      <c r="W186" s="16">
        <v>-360112007.27272719</v>
      </c>
      <c r="X186" s="16">
        <v>-883591420.27272725</v>
      </c>
    </row>
    <row r="187" spans="1:24" x14ac:dyDescent="0.45">
      <c r="A187" s="3" t="s">
        <v>22</v>
      </c>
      <c r="B187" s="3" t="s">
        <v>86</v>
      </c>
      <c r="C187" s="3" t="s">
        <v>101</v>
      </c>
      <c r="D187" s="5">
        <v>523479413</v>
      </c>
      <c r="E187" s="6">
        <v>45516</v>
      </c>
      <c r="F187" s="7">
        <v>45595</v>
      </c>
      <c r="G187" s="7">
        <f t="shared" si="10"/>
        <v>45626</v>
      </c>
      <c r="H187" s="8">
        <v>2.6</v>
      </c>
      <c r="I187" s="8">
        <v>1.4</v>
      </c>
      <c r="J187" s="9">
        <v>4</v>
      </c>
      <c r="K187" s="3">
        <v>3</v>
      </c>
      <c r="L187" s="17">
        <f t="shared" si="7"/>
        <v>0.8</v>
      </c>
      <c r="M187" s="17">
        <v>1</v>
      </c>
      <c r="N187" s="17">
        <v>0.75</v>
      </c>
      <c r="O187" s="13">
        <v>-114270883</v>
      </c>
      <c r="P187" s="13">
        <v>-114270883</v>
      </c>
      <c r="Q187" s="13">
        <v>392609559.75</v>
      </c>
      <c r="R187" s="13">
        <v>523479413</v>
      </c>
      <c r="S187" s="13">
        <v>506880442.75</v>
      </c>
      <c r="T187" s="13">
        <v>-130869853.25</v>
      </c>
      <c r="U187" s="14">
        <v>-3.4357795218052178</v>
      </c>
      <c r="V187" s="15">
        <v>0.75</v>
      </c>
      <c r="W187" s="16">
        <v>-152361177.33333334</v>
      </c>
      <c r="X187" s="16">
        <v>-675840590.33333337</v>
      </c>
    </row>
    <row r="188" spans="1:24" x14ac:dyDescent="0.45">
      <c r="A188" s="3" t="s">
        <v>22</v>
      </c>
      <c r="B188" s="3" t="s">
        <v>86</v>
      </c>
      <c r="C188" s="3" t="s">
        <v>101</v>
      </c>
      <c r="D188" s="5">
        <v>523479413</v>
      </c>
      <c r="E188" s="6">
        <v>45516</v>
      </c>
      <c r="F188" s="7">
        <v>45595</v>
      </c>
      <c r="G188" s="7">
        <f t="shared" si="10"/>
        <v>45657</v>
      </c>
      <c r="H188" s="8">
        <v>2.6</v>
      </c>
      <c r="I188" s="8">
        <v>2.4</v>
      </c>
      <c r="J188" s="9">
        <v>5</v>
      </c>
      <c r="K188" s="3">
        <v>3</v>
      </c>
      <c r="L188" s="17">
        <f t="shared" si="7"/>
        <v>1</v>
      </c>
      <c r="M188" s="17">
        <v>1</v>
      </c>
      <c r="N188" s="17">
        <v>1</v>
      </c>
      <c r="O188" s="13">
        <v>790490113</v>
      </c>
      <c r="P188" s="13">
        <v>790490113</v>
      </c>
      <c r="Q188" s="13">
        <v>523479413</v>
      </c>
      <c r="R188" s="13">
        <v>523479413</v>
      </c>
      <c r="S188" s="13">
        <v>-267010700</v>
      </c>
      <c r="T188" s="13">
        <v>0</v>
      </c>
      <c r="U188" s="14">
        <v>0.66222132875683415</v>
      </c>
      <c r="V188" s="15">
        <v>1</v>
      </c>
      <c r="W188" s="16">
        <v>790490113</v>
      </c>
      <c r="X188" s="16">
        <v>267010700</v>
      </c>
    </row>
    <row r="189" spans="1:24" x14ac:dyDescent="0.45">
      <c r="A189" s="3" t="s">
        <v>42</v>
      </c>
      <c r="B189" s="3" t="s">
        <v>81</v>
      </c>
      <c r="C189" s="3" t="s">
        <v>102</v>
      </c>
      <c r="D189" s="5">
        <v>589176956</v>
      </c>
      <c r="E189" s="6">
        <v>45834</v>
      </c>
      <c r="F189" s="7">
        <v>46006</v>
      </c>
      <c r="G189" s="7">
        <f t="shared" si="10"/>
        <v>45838</v>
      </c>
      <c r="H189" s="8">
        <v>5.63</v>
      </c>
      <c r="I189" s="8">
        <v>-4.63</v>
      </c>
      <c r="J189" s="9">
        <v>1</v>
      </c>
      <c r="K189" s="3">
        <v>6</v>
      </c>
      <c r="L189" s="17">
        <f t="shared" si="7"/>
        <v>0.16666666666666666</v>
      </c>
      <c r="M189" s="17">
        <v>0.1</v>
      </c>
      <c r="N189" s="17">
        <v>0.1</v>
      </c>
      <c r="O189" s="13">
        <v>17471780</v>
      </c>
      <c r="P189" s="13">
        <v>17471780</v>
      </c>
      <c r="Q189" s="13">
        <v>58917695.600000001</v>
      </c>
      <c r="R189" s="13">
        <v>58917695.600000001</v>
      </c>
      <c r="S189" s="13">
        <v>41445915.600000001</v>
      </c>
      <c r="T189" s="13">
        <v>0</v>
      </c>
      <c r="U189" s="14">
        <v>3.3721633170747345</v>
      </c>
      <c r="V189" s="15">
        <v>1</v>
      </c>
      <c r="W189" s="16">
        <v>174717800</v>
      </c>
      <c r="X189" s="16">
        <v>-414459156</v>
      </c>
    </row>
    <row r="190" spans="1:24" x14ac:dyDescent="0.45">
      <c r="A190" s="3" t="s">
        <v>42</v>
      </c>
      <c r="B190" s="3" t="s">
        <v>81</v>
      </c>
      <c r="C190" s="3" t="s">
        <v>102</v>
      </c>
      <c r="D190" s="5">
        <v>589176956</v>
      </c>
      <c r="E190" s="6">
        <v>45834</v>
      </c>
      <c r="F190" s="7">
        <v>46006</v>
      </c>
      <c r="G190" s="7">
        <f t="shared" si="10"/>
        <v>45869</v>
      </c>
      <c r="H190" s="8">
        <v>5.63</v>
      </c>
      <c r="I190" s="8">
        <v>-3.63</v>
      </c>
      <c r="J190" s="9">
        <v>2</v>
      </c>
      <c r="K190" s="3">
        <v>6</v>
      </c>
      <c r="L190" s="17">
        <f t="shared" si="7"/>
        <v>0.33333333333333331</v>
      </c>
      <c r="M190" s="17">
        <v>0.3</v>
      </c>
      <c r="N190" s="17">
        <v>0.3</v>
      </c>
      <c r="O190" s="13">
        <v>50762995</v>
      </c>
      <c r="P190" s="13">
        <v>50762995</v>
      </c>
      <c r="Q190" s="13">
        <v>176753086.79999998</v>
      </c>
      <c r="R190" s="13">
        <v>176753086.79999998</v>
      </c>
      <c r="S190" s="13">
        <v>125990091.79999998</v>
      </c>
      <c r="T190" s="13">
        <v>0</v>
      </c>
      <c r="U190" s="14">
        <v>3.4819278649732937</v>
      </c>
      <c r="V190" s="15">
        <v>1</v>
      </c>
      <c r="W190" s="16">
        <v>169209983.33333334</v>
      </c>
      <c r="X190" s="16">
        <v>-419966972.66666663</v>
      </c>
    </row>
    <row r="191" spans="1:24" x14ac:dyDescent="0.45">
      <c r="A191" s="3" t="s">
        <v>42</v>
      </c>
      <c r="B191" s="3" t="s">
        <v>81</v>
      </c>
      <c r="C191" s="3" t="s">
        <v>102</v>
      </c>
      <c r="D191" s="5">
        <v>589176956</v>
      </c>
      <c r="E191" s="6">
        <v>45834</v>
      </c>
      <c r="F191" s="7">
        <v>46006</v>
      </c>
      <c r="G191" s="7">
        <f t="shared" si="10"/>
        <v>45900</v>
      </c>
      <c r="H191" s="8">
        <v>5.63</v>
      </c>
      <c r="I191" s="8">
        <v>-2.63</v>
      </c>
      <c r="J191" s="9">
        <v>3</v>
      </c>
      <c r="K191" s="3">
        <v>6</v>
      </c>
      <c r="L191" s="17">
        <f t="shared" si="7"/>
        <v>0.5</v>
      </c>
      <c r="M191" s="17">
        <v>0.5</v>
      </c>
      <c r="N191" s="17">
        <v>0.5</v>
      </c>
      <c r="O191" s="13">
        <v>330740262</v>
      </c>
      <c r="P191" s="13">
        <v>330740262</v>
      </c>
      <c r="Q191" s="13">
        <v>294588478</v>
      </c>
      <c r="R191" s="13">
        <v>294588478</v>
      </c>
      <c r="S191" s="13">
        <v>-36151784</v>
      </c>
      <c r="T191" s="13">
        <v>0</v>
      </c>
      <c r="U191" s="14">
        <v>0.89069433584714275</v>
      </c>
      <c r="V191" s="15">
        <v>1</v>
      </c>
      <c r="W191" s="16">
        <v>661480524</v>
      </c>
      <c r="X191" s="16">
        <v>72303568</v>
      </c>
    </row>
    <row r="192" spans="1:24" x14ac:dyDescent="0.45">
      <c r="A192" s="3" t="s">
        <v>42</v>
      </c>
      <c r="B192" s="3" t="s">
        <v>81</v>
      </c>
      <c r="C192" s="3" t="s">
        <v>102</v>
      </c>
      <c r="D192" s="5">
        <v>589176956</v>
      </c>
      <c r="E192" s="6">
        <v>45834</v>
      </c>
      <c r="F192" s="7">
        <v>46006</v>
      </c>
      <c r="G192" s="7">
        <f t="shared" si="10"/>
        <v>45930</v>
      </c>
      <c r="H192" s="8">
        <v>5.63</v>
      </c>
      <c r="I192" s="8">
        <v>-1.63</v>
      </c>
      <c r="J192" s="9">
        <v>4</v>
      </c>
      <c r="K192" s="3">
        <v>6</v>
      </c>
      <c r="L192" s="17">
        <f t="shared" si="7"/>
        <v>0.66666666666666663</v>
      </c>
      <c r="M192" s="17">
        <v>0.65</v>
      </c>
      <c r="N192" s="17">
        <v>0.65</v>
      </c>
      <c r="O192" s="13">
        <v>69719462</v>
      </c>
      <c r="P192" s="13">
        <v>69719462</v>
      </c>
      <c r="Q192" s="13">
        <v>382965021.40000004</v>
      </c>
      <c r="R192" s="13">
        <v>382965021.40000004</v>
      </c>
      <c r="S192" s="13">
        <v>313245559.40000004</v>
      </c>
      <c r="T192" s="13">
        <v>0</v>
      </c>
      <c r="U192" s="14">
        <v>5.4929428657954942</v>
      </c>
      <c r="V192" s="15">
        <v>1</v>
      </c>
      <c r="W192" s="16">
        <v>107260710.76923075</v>
      </c>
      <c r="X192" s="16">
        <v>-481916245.23076928</v>
      </c>
    </row>
    <row r="193" spans="1:24" x14ac:dyDescent="0.45">
      <c r="A193" s="3" t="s">
        <v>42</v>
      </c>
      <c r="B193" s="3" t="s">
        <v>81</v>
      </c>
      <c r="C193" s="3" t="s">
        <v>102</v>
      </c>
      <c r="D193" s="5">
        <v>589176956</v>
      </c>
      <c r="E193" s="6">
        <v>45834</v>
      </c>
      <c r="F193" s="7">
        <v>46006</v>
      </c>
      <c r="G193" s="7">
        <f t="shared" si="10"/>
        <v>45961</v>
      </c>
      <c r="H193" s="8">
        <v>5.63</v>
      </c>
      <c r="I193" s="8">
        <v>-0.62999999999999989</v>
      </c>
      <c r="J193" s="9">
        <v>5</v>
      </c>
      <c r="K193" s="3">
        <v>6</v>
      </c>
      <c r="L193" s="17">
        <f t="shared" si="7"/>
        <v>0.83333333333333337</v>
      </c>
      <c r="M193" s="17">
        <v>0.85</v>
      </c>
      <c r="N193" s="17">
        <v>0.85</v>
      </c>
      <c r="O193" s="13">
        <v>107632395</v>
      </c>
      <c r="P193" s="13">
        <v>107632395</v>
      </c>
      <c r="Q193" s="13">
        <v>500800412.59999996</v>
      </c>
      <c r="R193" s="13">
        <v>500800412.59999996</v>
      </c>
      <c r="S193" s="13">
        <v>393168017.59999996</v>
      </c>
      <c r="T193" s="13">
        <v>0</v>
      </c>
      <c r="U193" s="14">
        <v>4.652878091210364</v>
      </c>
      <c r="V193" s="15">
        <v>1</v>
      </c>
      <c r="W193" s="16">
        <v>126626347.05882354</v>
      </c>
      <c r="X193" s="16">
        <v>-462550608.94117647</v>
      </c>
    </row>
    <row r="194" spans="1:24" x14ac:dyDescent="0.45">
      <c r="A194" s="3" t="s">
        <v>42</v>
      </c>
      <c r="B194" s="3" t="s">
        <v>81</v>
      </c>
      <c r="C194" s="3" t="s">
        <v>102</v>
      </c>
      <c r="D194" s="5">
        <v>589176956</v>
      </c>
      <c r="E194" s="6">
        <v>45834</v>
      </c>
      <c r="F194" s="7">
        <v>46006</v>
      </c>
      <c r="G194" s="7">
        <f t="shared" si="10"/>
        <v>45991</v>
      </c>
      <c r="H194" s="8">
        <v>5.63</v>
      </c>
      <c r="I194" s="8">
        <v>0.37000000000000011</v>
      </c>
      <c r="J194" s="9">
        <v>6</v>
      </c>
      <c r="K194" s="3">
        <v>6</v>
      </c>
      <c r="L194" s="17">
        <f t="shared" si="7"/>
        <v>1</v>
      </c>
      <c r="M194" s="17">
        <v>1</v>
      </c>
      <c r="N194" s="17">
        <v>1</v>
      </c>
      <c r="O194" s="13">
        <v>12850063</v>
      </c>
      <c r="P194" s="13">
        <v>12850063</v>
      </c>
      <c r="Q194" s="13">
        <v>589176956</v>
      </c>
      <c r="R194" s="13">
        <v>589176956</v>
      </c>
      <c r="S194" s="13">
        <v>576326893</v>
      </c>
      <c r="T194" s="13">
        <v>0</v>
      </c>
      <c r="U194" s="14">
        <v>45.850121979946714</v>
      </c>
      <c r="V194" s="15">
        <v>1</v>
      </c>
      <c r="W194" s="16">
        <v>12850063</v>
      </c>
      <c r="X194" s="16">
        <v>-576326893</v>
      </c>
    </row>
    <row r="195" spans="1:24" x14ac:dyDescent="0.45">
      <c r="A195" s="3" t="s">
        <v>21</v>
      </c>
      <c r="B195" s="3" t="s">
        <v>80</v>
      </c>
      <c r="C195" s="3" t="s">
        <v>101</v>
      </c>
      <c r="D195" s="5">
        <v>7397230574</v>
      </c>
      <c r="E195" s="6">
        <v>45505</v>
      </c>
      <c r="F195" s="7">
        <v>45807</v>
      </c>
      <c r="G195" s="7">
        <f t="shared" si="10"/>
        <v>45535</v>
      </c>
      <c r="H195" s="8">
        <v>9.9700000000000006</v>
      </c>
      <c r="I195" s="8">
        <v>-8.9700000000000006</v>
      </c>
      <c r="J195" s="9">
        <v>1</v>
      </c>
      <c r="K195" s="3">
        <v>10</v>
      </c>
      <c r="L195" s="17">
        <f t="shared" ref="L195:L258" si="11">J195/_xlfn.MAXIFS(J195:J592,A195:A592,A195)</f>
        <v>7.6923076923076927E-2</v>
      </c>
      <c r="M195" s="17">
        <v>0.1</v>
      </c>
      <c r="N195" s="17">
        <v>0.1</v>
      </c>
      <c r="O195" s="13">
        <v>646096114</v>
      </c>
      <c r="P195" s="13">
        <v>646096114</v>
      </c>
      <c r="Q195" s="13">
        <v>739723057.4000001</v>
      </c>
      <c r="R195" s="13">
        <v>739723057.4000001</v>
      </c>
      <c r="S195" s="13">
        <v>93626943.400000095</v>
      </c>
      <c r="T195" s="13">
        <v>0</v>
      </c>
      <c r="U195" s="14">
        <v>1.1449117884649591</v>
      </c>
      <c r="V195" s="15">
        <v>1</v>
      </c>
      <c r="W195" s="16">
        <v>6460961139.999999</v>
      </c>
      <c r="X195" s="16">
        <v>-936269434.00000095</v>
      </c>
    </row>
    <row r="196" spans="1:24" x14ac:dyDescent="0.45">
      <c r="A196" s="3" t="s">
        <v>21</v>
      </c>
      <c r="B196" s="3" t="s">
        <v>80</v>
      </c>
      <c r="C196" s="3" t="s">
        <v>101</v>
      </c>
      <c r="D196" s="5">
        <v>7397230574</v>
      </c>
      <c r="E196" s="6">
        <v>45505</v>
      </c>
      <c r="F196" s="7">
        <v>45807</v>
      </c>
      <c r="G196" s="7">
        <f t="shared" si="10"/>
        <v>45565</v>
      </c>
      <c r="H196" s="8">
        <v>9.9700000000000006</v>
      </c>
      <c r="I196" s="8">
        <v>-7.9700000000000006</v>
      </c>
      <c r="J196" s="9">
        <v>2</v>
      </c>
      <c r="K196" s="3">
        <v>10</v>
      </c>
      <c r="L196" s="17">
        <f t="shared" si="11"/>
        <v>0.15384615384615385</v>
      </c>
      <c r="M196" s="17">
        <v>0.2</v>
      </c>
      <c r="N196" s="17">
        <v>0.2</v>
      </c>
      <c r="O196" s="13">
        <v>728741519</v>
      </c>
      <c r="P196" s="13">
        <v>728741519</v>
      </c>
      <c r="Q196" s="13">
        <v>1479446114.8000002</v>
      </c>
      <c r="R196" s="13">
        <v>1479446114.8000002</v>
      </c>
      <c r="S196" s="13">
        <v>750704595.80000019</v>
      </c>
      <c r="T196" s="13">
        <v>0</v>
      </c>
      <c r="U196" s="14">
        <v>2.0301383635038919</v>
      </c>
      <c r="V196" s="15">
        <v>1</v>
      </c>
      <c r="W196" s="16">
        <v>3643707594.999999</v>
      </c>
      <c r="X196" s="16">
        <v>-3753522979.000001</v>
      </c>
    </row>
    <row r="197" spans="1:24" x14ac:dyDescent="0.45">
      <c r="A197" s="3" t="s">
        <v>21</v>
      </c>
      <c r="B197" s="3" t="s">
        <v>80</v>
      </c>
      <c r="C197" s="3" t="s">
        <v>101</v>
      </c>
      <c r="D197" s="5">
        <v>7397230574</v>
      </c>
      <c r="E197" s="6">
        <v>45505</v>
      </c>
      <c r="F197" s="7">
        <v>45807</v>
      </c>
      <c r="G197" s="7">
        <f t="shared" si="10"/>
        <v>45596</v>
      </c>
      <c r="H197" s="8">
        <v>9.9700000000000006</v>
      </c>
      <c r="I197" s="8">
        <v>-6.9700000000000006</v>
      </c>
      <c r="J197" s="9">
        <v>3</v>
      </c>
      <c r="K197" s="3">
        <v>10</v>
      </c>
      <c r="L197" s="17">
        <f t="shared" si="11"/>
        <v>0.23076923076923078</v>
      </c>
      <c r="M197" s="17">
        <v>0.3</v>
      </c>
      <c r="N197" s="17">
        <v>0.25</v>
      </c>
      <c r="O197" s="13">
        <v>728741519</v>
      </c>
      <c r="P197" s="13">
        <v>728741519</v>
      </c>
      <c r="Q197" s="13">
        <v>1849307643.5</v>
      </c>
      <c r="R197" s="13">
        <v>2219169172.1999998</v>
      </c>
      <c r="S197" s="13">
        <v>1120566124.5</v>
      </c>
      <c r="T197" s="13">
        <v>-369861528.69999981</v>
      </c>
      <c r="U197" s="14">
        <v>2.5376729543798642</v>
      </c>
      <c r="V197" s="15">
        <v>0.83333333333333337</v>
      </c>
      <c r="W197" s="16">
        <v>2914966076</v>
      </c>
      <c r="X197" s="16">
        <v>-4482264498</v>
      </c>
    </row>
    <row r="198" spans="1:24" x14ac:dyDescent="0.45">
      <c r="A198" s="3" t="s">
        <v>21</v>
      </c>
      <c r="B198" s="3" t="s">
        <v>80</v>
      </c>
      <c r="C198" s="3" t="s">
        <v>101</v>
      </c>
      <c r="D198" s="5">
        <v>7397230574</v>
      </c>
      <c r="E198" s="6">
        <v>45505</v>
      </c>
      <c r="F198" s="7">
        <v>45807</v>
      </c>
      <c r="G198" s="7">
        <f t="shared" si="10"/>
        <v>45626</v>
      </c>
      <c r="H198" s="8">
        <v>9.9700000000000006</v>
      </c>
      <c r="I198" s="8">
        <v>-5.9700000000000006</v>
      </c>
      <c r="J198" s="9">
        <v>4</v>
      </c>
      <c r="K198" s="3">
        <v>10</v>
      </c>
      <c r="L198" s="17">
        <f t="shared" si="11"/>
        <v>0.30769230769230771</v>
      </c>
      <c r="M198" s="17">
        <v>0.4</v>
      </c>
      <c r="N198" s="17">
        <v>0.35</v>
      </c>
      <c r="O198" s="13">
        <v>728741519</v>
      </c>
      <c r="P198" s="13">
        <v>728741519</v>
      </c>
      <c r="Q198" s="13">
        <v>2589030700.8999996</v>
      </c>
      <c r="R198" s="13">
        <v>2958892229.6000004</v>
      </c>
      <c r="S198" s="13">
        <v>1860289181.8999996</v>
      </c>
      <c r="T198" s="13">
        <v>-369861528.70000076</v>
      </c>
      <c r="U198" s="14">
        <v>3.5527421361318097</v>
      </c>
      <c r="V198" s="15">
        <v>0.87499999999999978</v>
      </c>
      <c r="W198" s="16">
        <v>2082118625.7142859</v>
      </c>
      <c r="X198" s="16">
        <v>-5315111948.2857141</v>
      </c>
    </row>
    <row r="199" spans="1:24" x14ac:dyDescent="0.45">
      <c r="A199" s="3" t="s">
        <v>21</v>
      </c>
      <c r="B199" s="3" t="s">
        <v>80</v>
      </c>
      <c r="C199" s="3" t="s">
        <v>101</v>
      </c>
      <c r="D199" s="5">
        <v>7397230574</v>
      </c>
      <c r="E199" s="6">
        <v>45505</v>
      </c>
      <c r="F199" s="7">
        <v>45807</v>
      </c>
      <c r="G199" s="7">
        <f t="shared" si="10"/>
        <v>45657</v>
      </c>
      <c r="H199" s="8">
        <v>9.9700000000000006</v>
      </c>
      <c r="I199" s="8">
        <v>-4.9700000000000006</v>
      </c>
      <c r="J199" s="9">
        <v>5</v>
      </c>
      <c r="K199" s="3">
        <v>10</v>
      </c>
      <c r="L199" s="17">
        <f t="shared" si="11"/>
        <v>0.38461538461538464</v>
      </c>
      <c r="M199" s="17">
        <v>0.5</v>
      </c>
      <c r="N199" s="17">
        <v>0.45</v>
      </c>
      <c r="O199" s="13">
        <v>728741519</v>
      </c>
      <c r="P199" s="13">
        <v>728741519</v>
      </c>
      <c r="Q199" s="13">
        <v>3328753758.3000002</v>
      </c>
      <c r="R199" s="13">
        <v>3698615287</v>
      </c>
      <c r="S199" s="13">
        <v>2600012239.3000002</v>
      </c>
      <c r="T199" s="13">
        <v>-369861528.69999981</v>
      </c>
      <c r="U199" s="14">
        <v>4.5678113178837556</v>
      </c>
      <c r="V199" s="15">
        <v>0.9</v>
      </c>
      <c r="W199" s="16">
        <v>1619425597.7777779</v>
      </c>
      <c r="X199" s="16">
        <v>-5777804976.2222223</v>
      </c>
    </row>
    <row r="200" spans="1:24" x14ac:dyDescent="0.45">
      <c r="A200" s="3" t="s">
        <v>21</v>
      </c>
      <c r="B200" s="3" t="s">
        <v>80</v>
      </c>
      <c r="C200" s="3" t="s">
        <v>101</v>
      </c>
      <c r="D200" s="5">
        <v>7397230574</v>
      </c>
      <c r="E200" s="6">
        <v>45505</v>
      </c>
      <c r="F200" s="7">
        <v>45807</v>
      </c>
      <c r="G200" s="7">
        <f t="shared" si="10"/>
        <v>45688</v>
      </c>
      <c r="H200" s="8">
        <v>9.9700000000000006</v>
      </c>
      <c r="I200" s="8">
        <v>-3.9700000000000006</v>
      </c>
      <c r="J200" s="9">
        <v>6</v>
      </c>
      <c r="K200" s="3">
        <v>10</v>
      </c>
      <c r="L200" s="17">
        <f t="shared" si="11"/>
        <v>0.46153846153846156</v>
      </c>
      <c r="M200" s="17">
        <v>0.6</v>
      </c>
      <c r="N200" s="17">
        <v>0.5</v>
      </c>
      <c r="O200" s="13">
        <v>728741519</v>
      </c>
      <c r="P200" s="13">
        <v>728741519</v>
      </c>
      <c r="Q200" s="13">
        <v>3698615287</v>
      </c>
      <c r="R200" s="13">
        <v>4438338344.3999996</v>
      </c>
      <c r="S200" s="13">
        <v>2969873768</v>
      </c>
      <c r="T200" s="13">
        <v>-739723057.39999962</v>
      </c>
      <c r="U200" s="14">
        <v>5.0753459087597284</v>
      </c>
      <c r="V200" s="15">
        <v>0.83333333333333337</v>
      </c>
      <c r="W200" s="16">
        <v>1457483038</v>
      </c>
      <c r="X200" s="16">
        <v>-5939747536</v>
      </c>
    </row>
    <row r="201" spans="1:24" x14ac:dyDescent="0.45">
      <c r="A201" s="3" t="s">
        <v>21</v>
      </c>
      <c r="B201" s="3" t="s">
        <v>80</v>
      </c>
      <c r="C201" s="3" t="s">
        <v>101</v>
      </c>
      <c r="D201" s="5">
        <v>7397230574</v>
      </c>
      <c r="E201" s="6">
        <v>45505</v>
      </c>
      <c r="F201" s="7">
        <v>45807</v>
      </c>
      <c r="G201" s="7">
        <f t="shared" si="10"/>
        <v>45716</v>
      </c>
      <c r="H201" s="8">
        <v>9.9700000000000006</v>
      </c>
      <c r="I201" s="8">
        <v>-2.9700000000000006</v>
      </c>
      <c r="J201" s="9">
        <v>7</v>
      </c>
      <c r="K201" s="3">
        <v>10</v>
      </c>
      <c r="L201" s="17">
        <f t="shared" si="11"/>
        <v>0.53846153846153844</v>
      </c>
      <c r="M201" s="17">
        <v>0.7</v>
      </c>
      <c r="N201" s="17">
        <v>0.6</v>
      </c>
      <c r="O201" s="13">
        <v>728741519</v>
      </c>
      <c r="P201" s="13">
        <v>728741519</v>
      </c>
      <c r="Q201" s="13">
        <v>4438338344.3999996</v>
      </c>
      <c r="R201" s="13">
        <v>5178061401.7999992</v>
      </c>
      <c r="S201" s="13">
        <v>3709596825.3999996</v>
      </c>
      <c r="T201" s="13">
        <v>-739723057.39999962</v>
      </c>
      <c r="U201" s="14">
        <v>6.0904150905116738</v>
      </c>
      <c r="V201" s="15">
        <v>0.85714285714285721</v>
      </c>
      <c r="W201" s="16">
        <v>1214569198.3333335</v>
      </c>
      <c r="X201" s="16">
        <v>-6182661375.666666</v>
      </c>
    </row>
    <row r="202" spans="1:24" x14ac:dyDescent="0.45">
      <c r="A202" s="3" t="s">
        <v>21</v>
      </c>
      <c r="B202" s="3" t="s">
        <v>80</v>
      </c>
      <c r="C202" s="3" t="s">
        <v>101</v>
      </c>
      <c r="D202" s="5">
        <v>7397230574</v>
      </c>
      <c r="E202" s="6">
        <v>45505</v>
      </c>
      <c r="F202" s="7">
        <v>45807</v>
      </c>
      <c r="G202" s="7">
        <f t="shared" si="10"/>
        <v>45747</v>
      </c>
      <c r="H202" s="8">
        <v>9.9700000000000006</v>
      </c>
      <c r="I202" s="8">
        <v>-1.9700000000000006</v>
      </c>
      <c r="J202" s="9">
        <v>8</v>
      </c>
      <c r="K202" s="3">
        <v>10</v>
      </c>
      <c r="L202" s="17">
        <f t="shared" si="11"/>
        <v>0.61538461538461542</v>
      </c>
      <c r="M202" s="17">
        <v>0.8</v>
      </c>
      <c r="N202" s="17">
        <v>0.75</v>
      </c>
      <c r="O202" s="13">
        <v>728741519</v>
      </c>
      <c r="P202" s="13">
        <v>728741519</v>
      </c>
      <c r="Q202" s="13">
        <v>5547922930.5</v>
      </c>
      <c r="R202" s="13">
        <v>5917784459.2000008</v>
      </c>
      <c r="S202" s="13">
        <v>4819181411.5</v>
      </c>
      <c r="T202" s="13">
        <v>-369861528.70000076</v>
      </c>
      <c r="U202" s="14">
        <v>7.613018863139593</v>
      </c>
      <c r="V202" s="15">
        <v>0.93749999999999989</v>
      </c>
      <c r="W202" s="16">
        <v>971655358.66666663</v>
      </c>
      <c r="X202" s="16">
        <v>-6425575215.333333</v>
      </c>
    </row>
    <row r="203" spans="1:24" x14ac:dyDescent="0.45">
      <c r="A203" s="3" t="s">
        <v>21</v>
      </c>
      <c r="B203" s="3" t="s">
        <v>80</v>
      </c>
      <c r="C203" s="3" t="s">
        <v>101</v>
      </c>
      <c r="D203" s="5">
        <v>7397230574</v>
      </c>
      <c r="E203" s="6">
        <v>45505</v>
      </c>
      <c r="F203" s="7">
        <v>45807</v>
      </c>
      <c r="G203" s="7">
        <f t="shared" si="10"/>
        <v>45777</v>
      </c>
      <c r="H203" s="8">
        <v>9.9700000000000006</v>
      </c>
      <c r="I203" s="8">
        <v>-0.97000000000000064</v>
      </c>
      <c r="J203" s="9">
        <v>9</v>
      </c>
      <c r="K203" s="3">
        <v>10</v>
      </c>
      <c r="L203" s="17">
        <f t="shared" si="11"/>
        <v>0.69230769230769229</v>
      </c>
      <c r="M203" s="17">
        <v>0.9</v>
      </c>
      <c r="N203" s="17">
        <v>0.85</v>
      </c>
      <c r="O203" s="13">
        <v>728741519</v>
      </c>
      <c r="P203" s="13">
        <v>728741519</v>
      </c>
      <c r="Q203" s="13">
        <v>6287645987.8999996</v>
      </c>
      <c r="R203" s="13">
        <v>6657507516.6000004</v>
      </c>
      <c r="S203" s="13">
        <v>5558904468.8999996</v>
      </c>
      <c r="T203" s="13">
        <v>-369861528.70000076</v>
      </c>
      <c r="U203" s="14">
        <v>8.6280880448915376</v>
      </c>
      <c r="V203" s="15">
        <v>0.94444444444444431</v>
      </c>
      <c r="W203" s="16">
        <v>857342963.52941191</v>
      </c>
      <c r="X203" s="16">
        <v>-6539887610.4705877</v>
      </c>
    </row>
    <row r="204" spans="1:24" x14ac:dyDescent="0.45">
      <c r="A204" s="3" t="s">
        <v>21</v>
      </c>
      <c r="B204" s="3" t="s">
        <v>80</v>
      </c>
      <c r="C204" s="3" t="s">
        <v>101</v>
      </c>
      <c r="D204" s="5">
        <v>7397230574</v>
      </c>
      <c r="E204" s="6">
        <v>45505</v>
      </c>
      <c r="F204" s="7">
        <v>45807</v>
      </c>
      <c r="G204" s="7">
        <f t="shared" si="10"/>
        <v>45808</v>
      </c>
      <c r="H204" s="8">
        <v>9.9700000000000006</v>
      </c>
      <c r="I204" s="8">
        <v>2.9999999999999361E-2</v>
      </c>
      <c r="J204" s="9">
        <v>10</v>
      </c>
      <c r="K204" s="3">
        <v>10</v>
      </c>
      <c r="L204" s="17">
        <f t="shared" si="11"/>
        <v>0.76923076923076927</v>
      </c>
      <c r="M204" s="17">
        <v>0.95</v>
      </c>
      <c r="N204" s="17">
        <v>0.9</v>
      </c>
      <c r="O204" s="13">
        <v>728741519</v>
      </c>
      <c r="P204" s="13">
        <v>728741519</v>
      </c>
      <c r="Q204" s="13">
        <v>6657507516.6000004</v>
      </c>
      <c r="R204" s="13">
        <v>7027369045.2999992</v>
      </c>
      <c r="S204" s="13">
        <v>5928765997.6000004</v>
      </c>
      <c r="T204" s="13">
        <v>-369861528.69999886</v>
      </c>
      <c r="U204" s="14">
        <v>9.1356226357675112</v>
      </c>
      <c r="V204" s="15">
        <v>0.94736842105263175</v>
      </c>
      <c r="W204" s="16">
        <v>809712798.88888896</v>
      </c>
      <c r="X204" s="16">
        <v>-6587517775.1111107</v>
      </c>
    </row>
    <row r="205" spans="1:24" x14ac:dyDescent="0.45">
      <c r="A205" s="3" t="s">
        <v>21</v>
      </c>
      <c r="B205" s="3" t="s">
        <v>80</v>
      </c>
      <c r="C205" s="3" t="s">
        <v>101</v>
      </c>
      <c r="D205" s="5">
        <v>7397230574</v>
      </c>
      <c r="E205" s="6">
        <v>45505</v>
      </c>
      <c r="F205" s="7">
        <v>45807</v>
      </c>
      <c r="G205" s="7">
        <f t="shared" si="10"/>
        <v>45838</v>
      </c>
      <c r="H205" s="8">
        <v>9.9700000000000006</v>
      </c>
      <c r="I205" s="8">
        <v>1.0299999999999994</v>
      </c>
      <c r="J205" s="9">
        <v>11</v>
      </c>
      <c r="K205" s="3">
        <v>10</v>
      </c>
      <c r="L205" s="17">
        <f t="shared" si="11"/>
        <v>0.84615384615384615</v>
      </c>
      <c r="M205" s="17">
        <v>1</v>
      </c>
      <c r="N205" s="17">
        <v>0.95</v>
      </c>
      <c r="O205" s="13">
        <v>189383868</v>
      </c>
      <c r="P205" s="13">
        <v>189383868</v>
      </c>
      <c r="Q205" s="13">
        <v>7027369045.2999992</v>
      </c>
      <c r="R205" s="13">
        <v>7397230574</v>
      </c>
      <c r="S205" s="13">
        <v>6837985177.2999992</v>
      </c>
      <c r="T205" s="13">
        <v>-369861528.70000076</v>
      </c>
      <c r="U205" s="14">
        <v>37.106481769080773</v>
      </c>
      <c r="V205" s="15">
        <v>0.94999999999999984</v>
      </c>
      <c r="W205" s="16">
        <v>199351440</v>
      </c>
      <c r="X205" s="16">
        <v>-7197879134</v>
      </c>
    </row>
    <row r="206" spans="1:24" x14ac:dyDescent="0.45">
      <c r="A206" s="3" t="s">
        <v>21</v>
      </c>
      <c r="B206" s="3" t="s">
        <v>80</v>
      </c>
      <c r="C206" s="3" t="s">
        <v>101</v>
      </c>
      <c r="D206" s="5">
        <v>7397230574</v>
      </c>
      <c r="E206" s="6">
        <v>45505</v>
      </c>
      <c r="F206" s="7">
        <v>45807</v>
      </c>
      <c r="G206" s="7">
        <f t="shared" si="10"/>
        <v>45869</v>
      </c>
      <c r="H206" s="8">
        <v>9.9700000000000006</v>
      </c>
      <c r="I206" s="8">
        <v>2.0299999999999994</v>
      </c>
      <c r="J206" s="9">
        <v>12</v>
      </c>
      <c r="K206" s="3">
        <v>10</v>
      </c>
      <c r="L206" s="17">
        <f t="shared" si="11"/>
        <v>0.92307692307692313</v>
      </c>
      <c r="M206" s="17">
        <v>1</v>
      </c>
      <c r="N206" s="17">
        <v>0.97</v>
      </c>
      <c r="O206" s="13">
        <v>1538462</v>
      </c>
      <c r="P206" s="13">
        <v>1538462</v>
      </c>
      <c r="Q206" s="13">
        <v>7175313656.7799997</v>
      </c>
      <c r="R206" s="13">
        <v>7397230574</v>
      </c>
      <c r="S206" s="13">
        <v>7173775194.7799997</v>
      </c>
      <c r="T206" s="13">
        <v>-221916917.22000027</v>
      </c>
      <c r="U206" s="14">
        <v>4663.9524777212564</v>
      </c>
      <c r="V206" s="15">
        <v>0.97</v>
      </c>
      <c r="W206" s="16">
        <v>1586043.2989690723</v>
      </c>
      <c r="X206" s="16">
        <v>-7395644530.7010307</v>
      </c>
    </row>
    <row r="207" spans="1:24" x14ac:dyDescent="0.45">
      <c r="A207" s="3" t="s">
        <v>21</v>
      </c>
      <c r="B207" s="3" t="s">
        <v>80</v>
      </c>
      <c r="C207" s="3" t="s">
        <v>101</v>
      </c>
      <c r="D207" s="5">
        <v>7397230574</v>
      </c>
      <c r="E207" s="6">
        <v>45505</v>
      </c>
      <c r="F207" s="7">
        <v>45807</v>
      </c>
      <c r="G207" s="7">
        <f t="shared" si="10"/>
        <v>45900</v>
      </c>
      <c r="H207" s="8">
        <v>9.9700000000000006</v>
      </c>
      <c r="I207" s="8">
        <v>3.0299999999999994</v>
      </c>
      <c r="J207" s="9">
        <v>13</v>
      </c>
      <c r="K207" s="3">
        <v>10</v>
      </c>
      <c r="L207" s="17">
        <f t="shared" si="11"/>
        <v>1</v>
      </c>
      <c r="M207" s="17">
        <v>1</v>
      </c>
      <c r="N207" s="17">
        <v>1</v>
      </c>
      <c r="O207" s="13">
        <v>1538462</v>
      </c>
      <c r="P207" s="13">
        <v>1538462</v>
      </c>
      <c r="Q207" s="13">
        <v>7397230574</v>
      </c>
      <c r="R207" s="13">
        <v>7397230574</v>
      </c>
      <c r="S207" s="13">
        <v>7395692112</v>
      </c>
      <c r="T207" s="13">
        <v>0</v>
      </c>
      <c r="U207" s="14">
        <v>4808.1984306404711</v>
      </c>
      <c r="V207" s="15">
        <v>1</v>
      </c>
      <c r="W207" s="16">
        <v>1538462</v>
      </c>
      <c r="X207" s="16">
        <v>-7395692112</v>
      </c>
    </row>
    <row r="208" spans="1:24" x14ac:dyDescent="0.45">
      <c r="A208" s="3" t="s">
        <v>1</v>
      </c>
      <c r="B208" s="3" t="s">
        <v>75</v>
      </c>
      <c r="C208" s="3" t="s">
        <v>101</v>
      </c>
      <c r="D208" s="5">
        <v>314881564</v>
      </c>
      <c r="E208" s="6">
        <v>45292</v>
      </c>
      <c r="F208" s="7">
        <v>45321</v>
      </c>
      <c r="G208" s="7">
        <f t="shared" si="10"/>
        <v>45322</v>
      </c>
      <c r="H208" s="8">
        <v>0.97</v>
      </c>
      <c r="I208" s="8">
        <v>-3.0000000000000027E-2</v>
      </c>
      <c r="J208" s="9">
        <v>1</v>
      </c>
      <c r="K208" s="10">
        <v>1</v>
      </c>
      <c r="L208" s="11">
        <f t="shared" si="11"/>
        <v>1</v>
      </c>
      <c r="M208" s="11">
        <v>1</v>
      </c>
      <c r="N208" s="12">
        <v>1</v>
      </c>
      <c r="O208" s="13">
        <v>314881564</v>
      </c>
      <c r="P208" s="13">
        <v>314881564</v>
      </c>
      <c r="Q208" s="13">
        <v>314881564</v>
      </c>
      <c r="R208" s="13">
        <v>314881564</v>
      </c>
      <c r="S208" s="13">
        <v>0</v>
      </c>
      <c r="T208" s="13">
        <v>0</v>
      </c>
      <c r="U208" s="14">
        <v>1</v>
      </c>
      <c r="V208" s="15">
        <v>1</v>
      </c>
      <c r="W208" s="16">
        <v>314881564</v>
      </c>
      <c r="X208" s="16">
        <v>0</v>
      </c>
    </row>
    <row r="209" spans="1:24" x14ac:dyDescent="0.45">
      <c r="A209" s="3" t="s">
        <v>28</v>
      </c>
      <c r="B209" s="3" t="s">
        <v>81</v>
      </c>
      <c r="C209" s="3" t="s">
        <v>102</v>
      </c>
      <c r="D209" s="5">
        <v>319021846</v>
      </c>
      <c r="E209" s="6">
        <v>45566</v>
      </c>
      <c r="F209" s="7">
        <v>45641</v>
      </c>
      <c r="G209" s="7">
        <f t="shared" si="10"/>
        <v>45596</v>
      </c>
      <c r="H209" s="8">
        <v>2.4700000000000002</v>
      </c>
      <c r="I209" s="8">
        <v>-1.4700000000000002</v>
      </c>
      <c r="J209" s="9">
        <v>1</v>
      </c>
      <c r="K209" s="3">
        <v>3</v>
      </c>
      <c r="L209" s="17">
        <f t="shared" si="11"/>
        <v>0.25</v>
      </c>
      <c r="M209" s="17">
        <v>0.3</v>
      </c>
      <c r="N209" s="17">
        <v>0.2</v>
      </c>
      <c r="O209" s="13">
        <v>21726225</v>
      </c>
      <c r="P209" s="13">
        <v>21726225</v>
      </c>
      <c r="Q209" s="13">
        <v>63804369.200000003</v>
      </c>
      <c r="R209" s="13">
        <v>95706553.799999997</v>
      </c>
      <c r="S209" s="13">
        <v>42078144.200000003</v>
      </c>
      <c r="T209" s="13">
        <v>-31902184.599999994</v>
      </c>
      <c r="U209" s="14">
        <v>2.9367443815020788</v>
      </c>
      <c r="V209" s="15">
        <v>0.66666666666666674</v>
      </c>
      <c r="W209" s="16">
        <v>108631125</v>
      </c>
      <c r="X209" s="16">
        <v>-210390721</v>
      </c>
    </row>
    <row r="210" spans="1:24" x14ac:dyDescent="0.45">
      <c r="A210" s="3" t="s">
        <v>28</v>
      </c>
      <c r="B210" s="3" t="s">
        <v>81</v>
      </c>
      <c r="C210" s="3" t="s">
        <v>102</v>
      </c>
      <c r="D210" s="5">
        <v>319021846</v>
      </c>
      <c r="E210" s="6">
        <v>45566</v>
      </c>
      <c r="F210" s="7">
        <v>45641</v>
      </c>
      <c r="G210" s="7">
        <f t="shared" si="10"/>
        <v>45626</v>
      </c>
      <c r="H210" s="8">
        <v>2.4700000000000002</v>
      </c>
      <c r="I210" s="8">
        <v>-0.4700000000000002</v>
      </c>
      <c r="J210" s="9">
        <v>2</v>
      </c>
      <c r="K210" s="3">
        <v>3</v>
      </c>
      <c r="L210" s="17">
        <f t="shared" si="11"/>
        <v>0.5</v>
      </c>
      <c r="M210" s="17">
        <v>0.6</v>
      </c>
      <c r="N210" s="17">
        <v>0.4</v>
      </c>
      <c r="O210" s="13">
        <v>187600120</v>
      </c>
      <c r="P210" s="13">
        <v>187600120</v>
      </c>
      <c r="Q210" s="13">
        <v>127608738.40000001</v>
      </c>
      <c r="R210" s="13">
        <v>191413107.59999999</v>
      </c>
      <c r="S210" s="13">
        <v>-59991381.599999994</v>
      </c>
      <c r="T210" s="13">
        <v>-63804369.199999988</v>
      </c>
      <c r="U210" s="14">
        <v>0.68021672054367555</v>
      </c>
      <c r="V210" s="15">
        <v>0.66666666666666674</v>
      </c>
      <c r="W210" s="16">
        <v>469000300</v>
      </c>
      <c r="X210" s="16">
        <v>149978454</v>
      </c>
    </row>
    <row r="211" spans="1:24" x14ac:dyDescent="0.45">
      <c r="A211" s="3" t="s">
        <v>28</v>
      </c>
      <c r="B211" s="3" t="s">
        <v>81</v>
      </c>
      <c r="C211" s="3" t="s">
        <v>102</v>
      </c>
      <c r="D211" s="5">
        <v>319021846</v>
      </c>
      <c r="E211" s="6">
        <v>45566</v>
      </c>
      <c r="F211" s="7">
        <v>45641</v>
      </c>
      <c r="G211" s="7">
        <f t="shared" si="10"/>
        <v>45657</v>
      </c>
      <c r="H211" s="8">
        <v>2.4700000000000002</v>
      </c>
      <c r="I211" s="8">
        <v>0.5299999999999998</v>
      </c>
      <c r="J211" s="9">
        <v>3</v>
      </c>
      <c r="K211" s="3">
        <v>3</v>
      </c>
      <c r="L211" s="17">
        <f t="shared" si="11"/>
        <v>0.75</v>
      </c>
      <c r="M211" s="17">
        <v>1</v>
      </c>
      <c r="N211" s="17">
        <v>0.6</v>
      </c>
      <c r="O211" s="13">
        <v>65710863</v>
      </c>
      <c r="P211" s="13">
        <v>65710863</v>
      </c>
      <c r="Q211" s="13">
        <v>191413107.59999999</v>
      </c>
      <c r="R211" s="13">
        <v>319021846</v>
      </c>
      <c r="S211" s="13">
        <v>125702244.59999999</v>
      </c>
      <c r="T211" s="13">
        <v>-127608738.40000001</v>
      </c>
      <c r="U211" s="14">
        <v>2.9129598800125329</v>
      </c>
      <c r="V211" s="15">
        <v>0.6</v>
      </c>
      <c r="W211" s="16">
        <v>109518105</v>
      </c>
      <c r="X211" s="16">
        <v>-209503741</v>
      </c>
    </row>
    <row r="212" spans="1:24" x14ac:dyDescent="0.45">
      <c r="A212" s="3" t="s">
        <v>28</v>
      </c>
      <c r="B212" s="3" t="s">
        <v>81</v>
      </c>
      <c r="C212" s="3" t="s">
        <v>102</v>
      </c>
      <c r="D212" s="5">
        <v>319021846</v>
      </c>
      <c r="E212" s="6">
        <v>45566</v>
      </c>
      <c r="F212" s="7">
        <v>45641</v>
      </c>
      <c r="G212" s="7">
        <f t="shared" si="10"/>
        <v>45688</v>
      </c>
      <c r="H212" s="8">
        <v>2.4700000000000002</v>
      </c>
      <c r="I212" s="8">
        <v>1.5299999999999998</v>
      </c>
      <c r="J212" s="9">
        <v>4</v>
      </c>
      <c r="K212" s="3">
        <v>3</v>
      </c>
      <c r="L212" s="17">
        <f t="shared" si="11"/>
        <v>1</v>
      </c>
      <c r="M212" s="17">
        <v>1</v>
      </c>
      <c r="N212" s="17">
        <v>1</v>
      </c>
      <c r="O212" s="13">
        <v>43984638</v>
      </c>
      <c r="P212" s="13">
        <v>43984638</v>
      </c>
      <c r="Q212" s="13">
        <v>319021846</v>
      </c>
      <c r="R212" s="13">
        <v>319021846</v>
      </c>
      <c r="S212" s="13">
        <v>275037208</v>
      </c>
      <c r="T212" s="13">
        <v>0</v>
      </c>
      <c r="U212" s="14">
        <v>7.2530287960992199</v>
      </c>
      <c r="V212" s="15">
        <v>1</v>
      </c>
      <c r="W212" s="16">
        <v>43984638</v>
      </c>
      <c r="X212" s="16">
        <v>-275037208</v>
      </c>
    </row>
    <row r="213" spans="1:24" x14ac:dyDescent="0.45">
      <c r="A213" s="3" t="s">
        <v>20</v>
      </c>
      <c r="B213" s="3" t="s">
        <v>81</v>
      </c>
      <c r="C213" s="3" t="s">
        <v>102</v>
      </c>
      <c r="D213" s="5">
        <v>45928592</v>
      </c>
      <c r="E213" s="6">
        <v>45505</v>
      </c>
      <c r="F213" s="7">
        <v>45536</v>
      </c>
      <c r="G213" s="7">
        <f t="shared" si="10"/>
        <v>45535</v>
      </c>
      <c r="H213" s="8">
        <v>1</v>
      </c>
      <c r="I213" s="8">
        <v>0</v>
      </c>
      <c r="J213" s="9">
        <v>1</v>
      </c>
      <c r="K213" s="3">
        <v>2</v>
      </c>
      <c r="L213" s="17">
        <f t="shared" si="11"/>
        <v>0.5</v>
      </c>
      <c r="M213" s="17">
        <v>0.5</v>
      </c>
      <c r="N213" s="17">
        <v>0.5</v>
      </c>
      <c r="O213" s="13">
        <v>27147059</v>
      </c>
      <c r="P213" s="13">
        <v>27147059</v>
      </c>
      <c r="Q213" s="13">
        <v>22964296</v>
      </c>
      <c r="R213" s="13">
        <v>22964296</v>
      </c>
      <c r="S213" s="13">
        <v>-4182763</v>
      </c>
      <c r="T213" s="13">
        <v>0</v>
      </c>
      <c r="U213" s="14">
        <v>0.84592205733961823</v>
      </c>
      <c r="V213" s="15">
        <v>1</v>
      </c>
      <c r="W213" s="16">
        <v>54294118</v>
      </c>
      <c r="X213" s="16">
        <v>8365526</v>
      </c>
    </row>
    <row r="214" spans="1:24" x14ac:dyDescent="0.45">
      <c r="A214" s="3" t="s">
        <v>20</v>
      </c>
      <c r="B214" s="3" t="s">
        <v>81</v>
      </c>
      <c r="C214" s="3" t="s">
        <v>102</v>
      </c>
      <c r="D214" s="5">
        <v>45928592</v>
      </c>
      <c r="E214" s="6">
        <v>45505</v>
      </c>
      <c r="F214" s="7">
        <v>45536</v>
      </c>
      <c r="G214" s="7">
        <f t="shared" si="10"/>
        <v>45565</v>
      </c>
      <c r="H214" s="8">
        <v>1</v>
      </c>
      <c r="I214" s="8">
        <v>1</v>
      </c>
      <c r="J214" s="9">
        <v>2</v>
      </c>
      <c r="K214" s="3">
        <v>2</v>
      </c>
      <c r="L214" s="17">
        <f t="shared" si="11"/>
        <v>1</v>
      </c>
      <c r="M214" s="17">
        <v>1</v>
      </c>
      <c r="N214" s="17">
        <v>1</v>
      </c>
      <c r="O214" s="13">
        <v>-18781533</v>
      </c>
      <c r="P214" s="13">
        <v>-18781533</v>
      </c>
      <c r="Q214" s="13">
        <v>45928592</v>
      </c>
      <c r="R214" s="13">
        <v>45928592</v>
      </c>
      <c r="S214" s="13">
        <v>64710125</v>
      </c>
      <c r="T214" s="13">
        <v>0</v>
      </c>
      <c r="U214" s="14">
        <v>-2.4454123100601</v>
      </c>
      <c r="V214" s="15">
        <v>1</v>
      </c>
      <c r="W214" s="16">
        <v>-18781533</v>
      </c>
      <c r="X214" s="16">
        <v>-64710125</v>
      </c>
    </row>
    <row r="215" spans="1:24" x14ac:dyDescent="0.45">
      <c r="A215" s="3" t="s">
        <v>59</v>
      </c>
      <c r="B215" s="3" t="s">
        <v>99</v>
      </c>
      <c r="C215" s="3" t="s">
        <v>101</v>
      </c>
      <c r="D215" s="5">
        <v>243037690</v>
      </c>
      <c r="E215" s="6">
        <v>45962</v>
      </c>
      <c r="F215" s="7">
        <v>45991</v>
      </c>
      <c r="G215" s="7">
        <f t="shared" si="10"/>
        <v>45991</v>
      </c>
      <c r="H215" s="8">
        <v>0.97</v>
      </c>
      <c r="I215" s="8">
        <v>3.0000000000000027E-2</v>
      </c>
      <c r="J215" s="9">
        <v>1</v>
      </c>
      <c r="K215" s="3">
        <v>2</v>
      </c>
      <c r="L215" s="17">
        <f t="shared" si="11"/>
        <v>0.5</v>
      </c>
      <c r="M215" s="17">
        <v>0.75</v>
      </c>
      <c r="N215" s="17">
        <v>0.75</v>
      </c>
      <c r="O215" s="13">
        <v>243037690</v>
      </c>
      <c r="P215" s="13">
        <v>243037690</v>
      </c>
      <c r="Q215" s="13">
        <v>182278267.5</v>
      </c>
      <c r="R215" s="13">
        <v>182278267.5</v>
      </c>
      <c r="S215" s="13">
        <v>-60759422.5</v>
      </c>
      <c r="T215" s="13">
        <v>0</v>
      </c>
      <c r="U215" s="14">
        <v>0.75</v>
      </c>
      <c r="V215" s="15">
        <v>1</v>
      </c>
      <c r="W215" s="16">
        <v>324050253.33333331</v>
      </c>
      <c r="X215" s="16">
        <v>81012563.333333313</v>
      </c>
    </row>
    <row r="216" spans="1:24" x14ac:dyDescent="0.45">
      <c r="A216" s="3" t="s">
        <v>59</v>
      </c>
      <c r="B216" s="3" t="s">
        <v>99</v>
      </c>
      <c r="C216" s="3" t="s">
        <v>101</v>
      </c>
      <c r="D216" s="5">
        <v>243037690</v>
      </c>
      <c r="E216" s="6">
        <v>45962</v>
      </c>
      <c r="F216" s="7">
        <v>45991</v>
      </c>
      <c r="G216" s="7">
        <f t="shared" si="10"/>
        <v>46022</v>
      </c>
      <c r="H216" s="8">
        <v>0.97</v>
      </c>
      <c r="I216" s="8">
        <v>1.03</v>
      </c>
      <c r="J216" s="9">
        <v>2</v>
      </c>
      <c r="K216" s="3">
        <v>2</v>
      </c>
      <c r="L216" s="17">
        <f t="shared" si="11"/>
        <v>1</v>
      </c>
      <c r="M216" s="17">
        <v>1</v>
      </c>
      <c r="N216" s="17">
        <v>1</v>
      </c>
      <c r="O216" s="13">
        <v>0</v>
      </c>
      <c r="P216" s="13">
        <v>0</v>
      </c>
      <c r="Q216" s="13">
        <v>243037690</v>
      </c>
      <c r="R216" s="13">
        <v>243037690</v>
      </c>
      <c r="S216" s="13">
        <v>243037690</v>
      </c>
      <c r="T216" s="13">
        <v>0</v>
      </c>
      <c r="U216" s="40">
        <v>1</v>
      </c>
      <c r="V216" s="15">
        <v>1</v>
      </c>
      <c r="W216" s="16">
        <v>0</v>
      </c>
      <c r="X216" s="16">
        <v>-243037690</v>
      </c>
    </row>
    <row r="217" spans="1:24" x14ac:dyDescent="0.45">
      <c r="A217" s="3" t="s">
        <v>9</v>
      </c>
      <c r="B217" s="3" t="s">
        <v>82</v>
      </c>
      <c r="C217" s="3" t="s">
        <v>102</v>
      </c>
      <c r="D217" s="5">
        <v>1087776079</v>
      </c>
      <c r="E217" s="6">
        <v>45369</v>
      </c>
      <c r="F217" s="7">
        <v>45552</v>
      </c>
      <c r="G217" s="7">
        <f t="shared" si="10"/>
        <v>45382</v>
      </c>
      <c r="H217" s="8">
        <v>5.97</v>
      </c>
      <c r="I217" s="8">
        <v>-4.97</v>
      </c>
      <c r="J217" s="9">
        <v>1</v>
      </c>
      <c r="K217" s="3">
        <v>6</v>
      </c>
      <c r="L217" s="17">
        <f t="shared" si="11"/>
        <v>0.16666666666666666</v>
      </c>
      <c r="M217" s="17">
        <v>0.3</v>
      </c>
      <c r="N217" s="17">
        <v>0.25</v>
      </c>
      <c r="O217" s="13">
        <v>156296013</v>
      </c>
      <c r="P217" s="13">
        <v>156296013</v>
      </c>
      <c r="Q217" s="13">
        <v>271944019.75</v>
      </c>
      <c r="R217" s="13">
        <v>326332823.69999999</v>
      </c>
      <c r="S217" s="13">
        <v>115648006.75</v>
      </c>
      <c r="T217" s="13">
        <v>-54388803.949999988</v>
      </c>
      <c r="U217" s="14">
        <v>1.739929346438287</v>
      </c>
      <c r="V217" s="15">
        <v>0.83333333333333337</v>
      </c>
      <c r="W217" s="16">
        <v>625184052</v>
      </c>
      <c r="X217" s="16">
        <v>-462592027</v>
      </c>
    </row>
    <row r="218" spans="1:24" x14ac:dyDescent="0.45">
      <c r="A218" s="3" t="s">
        <v>9</v>
      </c>
      <c r="B218" s="3" t="s">
        <v>82</v>
      </c>
      <c r="C218" s="3" t="s">
        <v>102</v>
      </c>
      <c r="D218" s="5">
        <v>1087776079</v>
      </c>
      <c r="E218" s="6">
        <v>45369</v>
      </c>
      <c r="F218" s="7">
        <v>45552</v>
      </c>
      <c r="G218" s="7">
        <f t="shared" si="10"/>
        <v>45412</v>
      </c>
      <c r="H218" s="8">
        <v>5.97</v>
      </c>
      <c r="I218" s="8">
        <v>-3.9699999999999998</v>
      </c>
      <c r="J218" s="9">
        <v>2</v>
      </c>
      <c r="K218" s="3">
        <v>6</v>
      </c>
      <c r="L218" s="17">
        <f t="shared" si="11"/>
        <v>0.33333333333333331</v>
      </c>
      <c r="M218" s="17">
        <v>0.45</v>
      </c>
      <c r="N218" s="17">
        <v>0.45</v>
      </c>
      <c r="O218" s="13">
        <v>231296013</v>
      </c>
      <c r="P218" s="13">
        <v>231296013</v>
      </c>
      <c r="Q218" s="13">
        <v>489499235.55000001</v>
      </c>
      <c r="R218" s="13">
        <v>489499235.55000001</v>
      </c>
      <c r="S218" s="13">
        <v>258203222.55000001</v>
      </c>
      <c r="T218" s="13">
        <v>0</v>
      </c>
      <c r="U218" s="14">
        <v>2.1163323535109964</v>
      </c>
      <c r="V218" s="15">
        <v>1</v>
      </c>
      <c r="W218" s="16">
        <v>513991140</v>
      </c>
      <c r="X218" s="16">
        <v>-573784939</v>
      </c>
    </row>
    <row r="219" spans="1:24" x14ac:dyDescent="0.45">
      <c r="A219" s="3" t="s">
        <v>9</v>
      </c>
      <c r="B219" s="3" t="s">
        <v>82</v>
      </c>
      <c r="C219" s="3" t="s">
        <v>102</v>
      </c>
      <c r="D219" s="5">
        <v>1087776079</v>
      </c>
      <c r="E219" s="6">
        <v>45369</v>
      </c>
      <c r="F219" s="7">
        <v>45552</v>
      </c>
      <c r="G219" s="7">
        <f t="shared" si="10"/>
        <v>45443</v>
      </c>
      <c r="H219" s="8">
        <v>5.97</v>
      </c>
      <c r="I219" s="8">
        <v>-2.9699999999999998</v>
      </c>
      <c r="J219" s="9">
        <v>3</v>
      </c>
      <c r="K219" s="3">
        <v>6</v>
      </c>
      <c r="L219" s="17">
        <f t="shared" si="11"/>
        <v>0.5</v>
      </c>
      <c r="M219" s="17">
        <v>0.5</v>
      </c>
      <c r="N219" s="17">
        <v>0.55000000000000004</v>
      </c>
      <c r="O219" s="13">
        <v>156296013</v>
      </c>
      <c r="P219" s="13">
        <v>156296013</v>
      </c>
      <c r="Q219" s="13">
        <v>598276843.45000005</v>
      </c>
      <c r="R219" s="13">
        <v>543888039.5</v>
      </c>
      <c r="S219" s="13">
        <v>441980830.45000005</v>
      </c>
      <c r="T219" s="13">
        <v>54388803.950000048</v>
      </c>
      <c r="U219" s="14">
        <v>3.8278445621642314</v>
      </c>
      <c r="V219" s="15">
        <v>1.1000000000000001</v>
      </c>
      <c r="W219" s="16">
        <v>284174569.09090906</v>
      </c>
      <c r="X219" s="16">
        <v>-803601509.909091</v>
      </c>
    </row>
    <row r="220" spans="1:24" x14ac:dyDescent="0.45">
      <c r="A220" s="3" t="s">
        <v>9</v>
      </c>
      <c r="B220" s="3" t="s">
        <v>82</v>
      </c>
      <c r="C220" s="3" t="s">
        <v>102</v>
      </c>
      <c r="D220" s="5">
        <v>1087776079</v>
      </c>
      <c r="E220" s="6">
        <v>45369</v>
      </c>
      <c r="F220" s="7">
        <v>45552</v>
      </c>
      <c r="G220" s="7">
        <f t="shared" si="10"/>
        <v>45473</v>
      </c>
      <c r="H220" s="8">
        <v>5.97</v>
      </c>
      <c r="I220" s="8">
        <v>-1.9699999999999998</v>
      </c>
      <c r="J220" s="9">
        <v>4</v>
      </c>
      <c r="K220" s="3">
        <v>6</v>
      </c>
      <c r="L220" s="17">
        <f t="shared" si="11"/>
        <v>0.66666666666666663</v>
      </c>
      <c r="M220" s="17">
        <v>0.75</v>
      </c>
      <c r="N220" s="17">
        <v>0.77</v>
      </c>
      <c r="O220" s="13">
        <v>156296013</v>
      </c>
      <c r="P220" s="13">
        <v>156296013</v>
      </c>
      <c r="Q220" s="13">
        <v>837587580.83000004</v>
      </c>
      <c r="R220" s="13">
        <v>815832059.25</v>
      </c>
      <c r="S220" s="13">
        <v>681291567.83000004</v>
      </c>
      <c r="T220" s="13">
        <v>21755521.580000043</v>
      </c>
      <c r="U220" s="14">
        <v>5.3589823870299238</v>
      </c>
      <c r="V220" s="15">
        <v>1.0266666666666666</v>
      </c>
      <c r="W220" s="16">
        <v>202981835.06493506</v>
      </c>
      <c r="X220" s="16">
        <v>-884794243.93506491</v>
      </c>
    </row>
    <row r="221" spans="1:24" x14ac:dyDescent="0.45">
      <c r="A221" s="3" t="s">
        <v>9</v>
      </c>
      <c r="B221" s="3" t="s">
        <v>82</v>
      </c>
      <c r="C221" s="3" t="s">
        <v>102</v>
      </c>
      <c r="D221" s="5">
        <v>1087776079</v>
      </c>
      <c r="E221" s="6">
        <v>45369</v>
      </c>
      <c r="F221" s="7">
        <v>45552</v>
      </c>
      <c r="G221" s="7">
        <f t="shared" si="10"/>
        <v>45504</v>
      </c>
      <c r="H221" s="8">
        <v>5.97</v>
      </c>
      <c r="I221" s="8">
        <v>-0.96999999999999975</v>
      </c>
      <c r="J221" s="9">
        <v>5</v>
      </c>
      <c r="K221" s="3">
        <v>6</v>
      </c>
      <c r="L221" s="17">
        <f t="shared" si="11"/>
        <v>0.83333333333333337</v>
      </c>
      <c r="M221" s="17">
        <v>0.8</v>
      </c>
      <c r="N221" s="17">
        <v>0.81</v>
      </c>
      <c r="O221" s="13">
        <v>231296013</v>
      </c>
      <c r="P221" s="13">
        <v>231296013</v>
      </c>
      <c r="Q221" s="13">
        <v>881098623.99000001</v>
      </c>
      <c r="R221" s="13">
        <v>870220863.20000005</v>
      </c>
      <c r="S221" s="13">
        <v>649802610.99000001</v>
      </c>
      <c r="T221" s="13">
        <v>10877760.789999962</v>
      </c>
      <c r="U221" s="14">
        <v>3.8093982363197934</v>
      </c>
      <c r="V221" s="15">
        <v>1.0125</v>
      </c>
      <c r="W221" s="16">
        <v>285550633.33333331</v>
      </c>
      <c r="X221" s="16">
        <v>-802225445.66666675</v>
      </c>
    </row>
    <row r="222" spans="1:24" x14ac:dyDescent="0.45">
      <c r="A222" s="3" t="s">
        <v>9</v>
      </c>
      <c r="B222" s="3" t="s">
        <v>82</v>
      </c>
      <c r="C222" s="3" t="s">
        <v>102</v>
      </c>
      <c r="D222" s="5">
        <v>1087776079</v>
      </c>
      <c r="E222" s="6">
        <v>45369</v>
      </c>
      <c r="F222" s="7">
        <v>45552</v>
      </c>
      <c r="G222" s="7">
        <f t="shared" si="10"/>
        <v>45535</v>
      </c>
      <c r="H222" s="8">
        <v>5.97</v>
      </c>
      <c r="I222" s="8">
        <v>3.0000000000000249E-2</v>
      </c>
      <c r="J222" s="9">
        <v>6</v>
      </c>
      <c r="K222" s="3">
        <v>6</v>
      </c>
      <c r="L222" s="17">
        <f t="shared" si="11"/>
        <v>1</v>
      </c>
      <c r="M222" s="17">
        <v>1</v>
      </c>
      <c r="N222" s="17">
        <v>1</v>
      </c>
      <c r="O222" s="13">
        <v>156296013</v>
      </c>
      <c r="P222" s="13">
        <v>156296013</v>
      </c>
      <c r="Q222" s="13">
        <v>1087776079</v>
      </c>
      <c r="R222" s="13">
        <v>1087776079</v>
      </c>
      <c r="S222" s="13">
        <v>931480066</v>
      </c>
      <c r="T222" s="13">
        <v>0</v>
      </c>
      <c r="U222" s="14">
        <v>6.959717385753148</v>
      </c>
      <c r="V222" s="15">
        <v>1</v>
      </c>
      <c r="W222" s="16">
        <v>156296013</v>
      </c>
      <c r="X222" s="16">
        <v>-931480066</v>
      </c>
    </row>
    <row r="223" spans="1:24" x14ac:dyDescent="0.45">
      <c r="A223" s="3" t="s">
        <v>25</v>
      </c>
      <c r="B223" s="3" t="s">
        <v>75</v>
      </c>
      <c r="C223" s="3" t="s">
        <v>101</v>
      </c>
      <c r="D223" s="5">
        <v>370376769</v>
      </c>
      <c r="E223" s="6">
        <v>45536</v>
      </c>
      <c r="F223" s="7">
        <v>45596</v>
      </c>
      <c r="G223" s="7">
        <f t="shared" si="10"/>
        <v>45565</v>
      </c>
      <c r="H223" s="8">
        <v>2</v>
      </c>
      <c r="I223" s="8">
        <v>-1</v>
      </c>
      <c r="J223" s="9">
        <v>1</v>
      </c>
      <c r="K223" s="3">
        <v>2</v>
      </c>
      <c r="L223" s="17">
        <f t="shared" si="11"/>
        <v>0.33333333333333331</v>
      </c>
      <c r="M223" s="17">
        <v>0.5</v>
      </c>
      <c r="N223" s="17">
        <v>0.25</v>
      </c>
      <c r="O223" s="13" t="s">
        <v>120</v>
      </c>
      <c r="P223" s="13" t="s">
        <v>120</v>
      </c>
      <c r="Q223" s="13">
        <v>92594192.25</v>
      </c>
      <c r="R223" s="13">
        <v>185188384.5</v>
      </c>
      <c r="S223" s="13">
        <v>0</v>
      </c>
      <c r="T223" s="13">
        <v>-92594192.25</v>
      </c>
      <c r="U223" s="40">
        <v>1</v>
      </c>
      <c r="V223" s="15">
        <v>0.5</v>
      </c>
      <c r="W223" s="16">
        <v>0</v>
      </c>
      <c r="X223" s="16">
        <v>-370376769</v>
      </c>
    </row>
    <row r="224" spans="1:24" x14ac:dyDescent="0.45">
      <c r="A224" s="3" t="s">
        <v>25</v>
      </c>
      <c r="B224" s="3" t="s">
        <v>75</v>
      </c>
      <c r="C224" s="3" t="s">
        <v>101</v>
      </c>
      <c r="D224" s="5">
        <v>370376769</v>
      </c>
      <c r="E224" s="6">
        <v>45536</v>
      </c>
      <c r="F224" s="7">
        <v>45596</v>
      </c>
      <c r="G224" s="7">
        <f t="shared" si="10"/>
        <v>45596</v>
      </c>
      <c r="H224" s="8">
        <v>2</v>
      </c>
      <c r="I224" s="8">
        <v>0</v>
      </c>
      <c r="J224" s="9">
        <v>2</v>
      </c>
      <c r="K224" s="3">
        <v>2</v>
      </c>
      <c r="L224" s="17">
        <f t="shared" si="11"/>
        <v>0.66666666666666663</v>
      </c>
      <c r="M224" s="17">
        <v>1</v>
      </c>
      <c r="N224" s="17">
        <v>0.5</v>
      </c>
      <c r="O224" s="13">
        <v>-348062440</v>
      </c>
      <c r="P224" s="13">
        <v>-348062440</v>
      </c>
      <c r="Q224" s="13">
        <v>185188384.5</v>
      </c>
      <c r="R224" s="13">
        <v>370376769</v>
      </c>
      <c r="S224" s="13">
        <v>533250824.5</v>
      </c>
      <c r="T224" s="13">
        <v>-185188384.5</v>
      </c>
      <c r="U224" s="14">
        <v>-0.53205506603930031</v>
      </c>
      <c r="V224" s="15">
        <v>0.5</v>
      </c>
      <c r="W224" s="16">
        <v>-696124880</v>
      </c>
      <c r="X224" s="16">
        <v>-1066501649</v>
      </c>
    </row>
    <row r="225" spans="1:24" x14ac:dyDescent="0.45">
      <c r="A225" s="3" t="s">
        <v>25</v>
      </c>
      <c r="B225" s="3" t="s">
        <v>75</v>
      </c>
      <c r="C225" s="3" t="s">
        <v>101</v>
      </c>
      <c r="D225" s="5">
        <v>370376769</v>
      </c>
      <c r="E225" s="6">
        <v>45536</v>
      </c>
      <c r="F225" s="7">
        <v>45596</v>
      </c>
      <c r="G225" s="7">
        <f t="shared" si="10"/>
        <v>45626</v>
      </c>
      <c r="H225" s="8">
        <v>2</v>
      </c>
      <c r="I225" s="8">
        <v>1</v>
      </c>
      <c r="J225" s="9">
        <v>3</v>
      </c>
      <c r="K225" s="3">
        <v>2</v>
      </c>
      <c r="L225" s="17">
        <f t="shared" si="11"/>
        <v>1</v>
      </c>
      <c r="M225" s="17">
        <v>1</v>
      </c>
      <c r="N225" s="17">
        <v>1</v>
      </c>
      <c r="O225" s="13">
        <v>594457735</v>
      </c>
      <c r="P225" s="13">
        <v>594457735</v>
      </c>
      <c r="Q225" s="13">
        <v>370376769</v>
      </c>
      <c r="R225" s="13">
        <v>370376769</v>
      </c>
      <c r="S225" s="13">
        <v>-224080966</v>
      </c>
      <c r="T225" s="13">
        <v>0</v>
      </c>
      <c r="U225" s="14">
        <v>0.62304979343905753</v>
      </c>
      <c r="V225" s="15">
        <v>1</v>
      </c>
      <c r="W225" s="16">
        <v>594457735</v>
      </c>
      <c r="X225" s="16">
        <v>224080966</v>
      </c>
    </row>
    <row r="226" spans="1:24" x14ac:dyDescent="0.45">
      <c r="A226" s="3" t="s">
        <v>71</v>
      </c>
      <c r="B226" s="3" t="s">
        <v>77</v>
      </c>
      <c r="C226" s="3" t="s">
        <v>103</v>
      </c>
      <c r="D226" s="5">
        <v>950366338</v>
      </c>
      <c r="E226" s="6">
        <v>46045</v>
      </c>
      <c r="F226" s="7">
        <v>46591</v>
      </c>
      <c r="G226" s="7">
        <f t="shared" si="10"/>
        <v>46053</v>
      </c>
      <c r="H226" s="8">
        <v>18</v>
      </c>
      <c r="I226" s="8">
        <v>-17</v>
      </c>
      <c r="J226" s="9">
        <v>1</v>
      </c>
      <c r="K226" s="3">
        <v>18</v>
      </c>
      <c r="L226" s="17">
        <f t="shared" si="11"/>
        <v>1</v>
      </c>
      <c r="M226" s="17">
        <v>0.1</v>
      </c>
      <c r="N226" s="17">
        <v>0.1</v>
      </c>
      <c r="O226" s="13">
        <v>66538626</v>
      </c>
      <c r="P226" s="13">
        <v>66538626</v>
      </c>
      <c r="Q226" s="13">
        <v>95036633.800000012</v>
      </c>
      <c r="R226" s="13">
        <v>95036633.800000012</v>
      </c>
      <c r="S226" s="13">
        <v>28498007.800000012</v>
      </c>
      <c r="T226" s="13">
        <v>0</v>
      </c>
      <c r="U226" s="14">
        <v>1.4282927002430139</v>
      </c>
      <c r="V226" s="15">
        <v>1</v>
      </c>
      <c r="W226" s="16">
        <v>665386259.99999988</v>
      </c>
      <c r="X226" s="16">
        <v>-284980078.00000012</v>
      </c>
    </row>
    <row r="227" spans="1:24" x14ac:dyDescent="0.45">
      <c r="A227" s="3" t="s">
        <v>53</v>
      </c>
      <c r="B227" s="3" t="s">
        <v>95</v>
      </c>
      <c r="C227" s="3" t="s">
        <v>101</v>
      </c>
      <c r="D227" s="5">
        <v>4420115772</v>
      </c>
      <c r="E227" s="6">
        <v>45931</v>
      </c>
      <c r="F227" s="7">
        <v>46172</v>
      </c>
      <c r="G227" s="7">
        <f t="shared" ref="G227:G264" si="12">EOMONTH(E227,J227-1)</f>
        <v>45961</v>
      </c>
      <c r="H227" s="8">
        <v>7.97</v>
      </c>
      <c r="I227" s="8">
        <v>-6.97</v>
      </c>
      <c r="J227" s="9">
        <v>1</v>
      </c>
      <c r="K227" s="3">
        <v>8</v>
      </c>
      <c r="L227" s="17">
        <f t="shared" si="11"/>
        <v>0.25</v>
      </c>
      <c r="M227" s="17">
        <v>0.1</v>
      </c>
      <c r="N227" s="17">
        <v>0.1</v>
      </c>
      <c r="O227" s="13">
        <v>74335965</v>
      </c>
      <c r="P227" s="13">
        <v>74335965</v>
      </c>
      <c r="Q227" s="13">
        <v>442011577.20000005</v>
      </c>
      <c r="R227" s="13">
        <v>442011577.20000005</v>
      </c>
      <c r="S227" s="13">
        <v>367675612.20000005</v>
      </c>
      <c r="T227" s="13">
        <v>0</v>
      </c>
      <c r="U227" s="14">
        <v>5.9461335734324567</v>
      </c>
      <c r="V227" s="15">
        <v>1</v>
      </c>
      <c r="W227" s="16">
        <v>743359650</v>
      </c>
      <c r="X227" s="16">
        <v>-3676756122</v>
      </c>
    </row>
    <row r="228" spans="1:24" x14ac:dyDescent="0.45">
      <c r="A228" s="3" t="s">
        <v>53</v>
      </c>
      <c r="B228" s="3" t="s">
        <v>95</v>
      </c>
      <c r="C228" s="3" t="s">
        <v>101</v>
      </c>
      <c r="D228" s="5">
        <v>4420115772</v>
      </c>
      <c r="E228" s="6">
        <v>45931</v>
      </c>
      <c r="F228" s="7">
        <v>46172</v>
      </c>
      <c r="G228" s="7">
        <f t="shared" si="12"/>
        <v>45991</v>
      </c>
      <c r="H228" s="8">
        <v>7.97</v>
      </c>
      <c r="I228" s="8">
        <v>-5.97</v>
      </c>
      <c r="J228" s="9">
        <v>2</v>
      </c>
      <c r="K228" s="3">
        <v>8</v>
      </c>
      <c r="L228" s="17">
        <f t="shared" si="11"/>
        <v>0.5</v>
      </c>
      <c r="M228" s="17">
        <v>0.25</v>
      </c>
      <c r="N228" s="17">
        <v>0.25</v>
      </c>
      <c r="O228" s="13">
        <v>216533795</v>
      </c>
      <c r="P228" s="13">
        <v>216533795</v>
      </c>
      <c r="Q228" s="13">
        <v>1105028943</v>
      </c>
      <c r="R228" s="13">
        <v>1105028943</v>
      </c>
      <c r="S228" s="13">
        <v>888495148</v>
      </c>
      <c r="T228" s="13">
        <v>0</v>
      </c>
      <c r="U228" s="14">
        <v>5.1032631788492875</v>
      </c>
      <c r="V228" s="15">
        <v>1</v>
      </c>
      <c r="W228" s="16">
        <v>866135180</v>
      </c>
      <c r="X228" s="16">
        <v>-3553980592</v>
      </c>
    </row>
    <row r="229" spans="1:24" x14ac:dyDescent="0.45">
      <c r="A229" s="3" t="s">
        <v>53</v>
      </c>
      <c r="B229" s="3" t="s">
        <v>95</v>
      </c>
      <c r="C229" s="3" t="s">
        <v>101</v>
      </c>
      <c r="D229" s="5">
        <v>4420115772</v>
      </c>
      <c r="E229" s="6">
        <v>45931</v>
      </c>
      <c r="F229" s="7">
        <v>46172</v>
      </c>
      <c r="G229" s="7">
        <f t="shared" si="12"/>
        <v>46022</v>
      </c>
      <c r="H229" s="8">
        <v>7.97</v>
      </c>
      <c r="I229" s="8">
        <v>-4.97</v>
      </c>
      <c r="J229" s="9">
        <v>3</v>
      </c>
      <c r="K229" s="3">
        <v>8</v>
      </c>
      <c r="L229" s="17">
        <f t="shared" si="11"/>
        <v>0.75</v>
      </c>
      <c r="M229" s="17">
        <v>0.37</v>
      </c>
      <c r="N229" s="17">
        <v>0.37</v>
      </c>
      <c r="O229" s="13">
        <v>2664565868</v>
      </c>
      <c r="P229" s="13">
        <v>2664565868</v>
      </c>
      <c r="Q229" s="13">
        <v>1635442835.6399999</v>
      </c>
      <c r="R229" s="13">
        <v>1635442835.6399999</v>
      </c>
      <c r="S229" s="13">
        <v>-1029123032.3600001</v>
      </c>
      <c r="T229" s="13">
        <v>0</v>
      </c>
      <c r="U229" s="14">
        <v>0.61377459468380458</v>
      </c>
      <c r="V229" s="15">
        <v>1</v>
      </c>
      <c r="W229" s="16">
        <v>7201529372.9729729</v>
      </c>
      <c r="X229" s="16">
        <v>2781413600.9729729</v>
      </c>
    </row>
    <row r="230" spans="1:24" x14ac:dyDescent="0.45">
      <c r="A230" s="3" t="s">
        <v>53</v>
      </c>
      <c r="B230" s="3" t="s">
        <v>95</v>
      </c>
      <c r="C230" s="3" t="s">
        <v>101</v>
      </c>
      <c r="D230" s="5">
        <v>4420115772</v>
      </c>
      <c r="E230" s="6">
        <v>45931</v>
      </c>
      <c r="F230" s="7">
        <v>46172</v>
      </c>
      <c r="G230" s="7">
        <f t="shared" si="12"/>
        <v>46053</v>
      </c>
      <c r="H230" s="8">
        <v>7.97</v>
      </c>
      <c r="I230" s="8">
        <v>-3.9699999999999998</v>
      </c>
      <c r="J230" s="9">
        <v>4</v>
      </c>
      <c r="K230" s="3">
        <v>8</v>
      </c>
      <c r="L230" s="17">
        <f t="shared" si="11"/>
        <v>1</v>
      </c>
      <c r="M230" s="17">
        <v>0.48</v>
      </c>
      <c r="N230" s="17">
        <v>0.48</v>
      </c>
      <c r="O230" s="13">
        <v>1464680145</v>
      </c>
      <c r="P230" s="13">
        <v>1464680145</v>
      </c>
      <c r="Q230" s="13">
        <v>2121655570.5599999</v>
      </c>
      <c r="R230" s="13">
        <v>2121655570.5599999</v>
      </c>
      <c r="S230" s="13">
        <v>656975425.55999994</v>
      </c>
      <c r="T230" s="13">
        <v>0</v>
      </c>
      <c r="U230" s="14">
        <v>1.4485453208352188</v>
      </c>
      <c r="V230" s="15">
        <v>1</v>
      </c>
      <c r="W230" s="16">
        <v>3051416968.7500005</v>
      </c>
      <c r="X230" s="16">
        <v>-1368698803.2499995</v>
      </c>
    </row>
    <row r="231" spans="1:24" x14ac:dyDescent="0.45">
      <c r="A231" s="3" t="s">
        <v>43</v>
      </c>
      <c r="B231" s="3" t="s">
        <v>92</v>
      </c>
      <c r="C231" s="3" t="s">
        <v>101</v>
      </c>
      <c r="D231" s="5">
        <v>5155459063</v>
      </c>
      <c r="E231" s="6">
        <v>45836</v>
      </c>
      <c r="F231" s="7">
        <v>46112</v>
      </c>
      <c r="G231" s="7">
        <f t="shared" si="12"/>
        <v>45869</v>
      </c>
      <c r="H231" s="8">
        <v>9.1</v>
      </c>
      <c r="I231" s="8">
        <v>-7.1</v>
      </c>
      <c r="J231" s="9">
        <v>2</v>
      </c>
      <c r="K231" s="3">
        <v>11</v>
      </c>
      <c r="L231" s="17">
        <f t="shared" si="11"/>
        <v>0.25</v>
      </c>
      <c r="M231" s="17">
        <v>0.19</v>
      </c>
      <c r="N231" s="17">
        <v>0.19</v>
      </c>
      <c r="O231" s="13">
        <v>1753299905</v>
      </c>
      <c r="P231" s="13">
        <v>1753299905</v>
      </c>
      <c r="Q231" s="13">
        <v>979537221.97000003</v>
      </c>
      <c r="R231" s="13">
        <v>979537221.97000003</v>
      </c>
      <c r="S231" s="13">
        <v>-773762683.02999997</v>
      </c>
      <c r="T231" s="13">
        <v>0</v>
      </c>
      <c r="U231" s="14">
        <v>0.55868207097746925</v>
      </c>
      <c r="V231" s="15">
        <v>1</v>
      </c>
      <c r="W231" s="16">
        <v>9227894236.842104</v>
      </c>
      <c r="X231" s="16">
        <v>4072435173.842104</v>
      </c>
    </row>
    <row r="232" spans="1:24" x14ac:dyDescent="0.45">
      <c r="A232" s="3" t="s">
        <v>43</v>
      </c>
      <c r="B232" s="3" t="s">
        <v>92</v>
      </c>
      <c r="C232" s="3" t="s">
        <v>101</v>
      </c>
      <c r="D232" s="5">
        <v>5155459063</v>
      </c>
      <c r="E232" s="6">
        <v>45836</v>
      </c>
      <c r="F232" s="7">
        <v>46112</v>
      </c>
      <c r="G232" s="7">
        <f t="shared" si="12"/>
        <v>45900</v>
      </c>
      <c r="H232" s="8">
        <v>9.1</v>
      </c>
      <c r="I232" s="8">
        <v>-6.1</v>
      </c>
      <c r="J232" s="9">
        <v>3</v>
      </c>
      <c r="K232" s="3">
        <v>11</v>
      </c>
      <c r="L232" s="17">
        <f t="shared" si="11"/>
        <v>0.375</v>
      </c>
      <c r="M232" s="17">
        <v>0.31</v>
      </c>
      <c r="N232" s="17">
        <v>0.31</v>
      </c>
      <c r="O232" s="13">
        <v>448273673</v>
      </c>
      <c r="P232" s="13">
        <v>448273673</v>
      </c>
      <c r="Q232" s="13">
        <v>1598192309.53</v>
      </c>
      <c r="R232" s="13">
        <v>1598192309.53</v>
      </c>
      <c r="S232" s="13">
        <v>1149918636.53</v>
      </c>
      <c r="T232" s="13">
        <v>0</v>
      </c>
      <c r="U232" s="14">
        <v>3.5652156389964929</v>
      </c>
      <c r="V232" s="15">
        <v>1</v>
      </c>
      <c r="W232" s="16">
        <v>1446044106.4516129</v>
      </c>
      <c r="X232" s="16">
        <v>-3709414956.5483871</v>
      </c>
    </row>
    <row r="233" spans="1:24" x14ac:dyDescent="0.45">
      <c r="A233" s="3" t="s">
        <v>43</v>
      </c>
      <c r="B233" s="3" t="s">
        <v>92</v>
      </c>
      <c r="C233" s="3" t="s">
        <v>101</v>
      </c>
      <c r="D233" s="5">
        <v>5155459063</v>
      </c>
      <c r="E233" s="6">
        <v>45836</v>
      </c>
      <c r="F233" s="7">
        <v>46112</v>
      </c>
      <c r="G233" s="7">
        <f t="shared" si="12"/>
        <v>45930</v>
      </c>
      <c r="H233" s="8">
        <v>9.1</v>
      </c>
      <c r="I233" s="8">
        <v>-5.0999999999999996</v>
      </c>
      <c r="J233" s="9">
        <v>4</v>
      </c>
      <c r="K233" s="3">
        <v>11</v>
      </c>
      <c r="L233" s="17">
        <f t="shared" si="11"/>
        <v>0.5</v>
      </c>
      <c r="M233" s="17">
        <v>0.43</v>
      </c>
      <c r="N233" s="17">
        <v>0.43</v>
      </c>
      <c r="O233" s="13">
        <v>378745034</v>
      </c>
      <c r="P233" s="13">
        <v>378745034</v>
      </c>
      <c r="Q233" s="13">
        <v>2216847397.0900002</v>
      </c>
      <c r="R233" s="13">
        <v>2216847397.0900002</v>
      </c>
      <c r="S233" s="13">
        <v>1838102363.0900002</v>
      </c>
      <c r="T233" s="13">
        <v>0</v>
      </c>
      <c r="U233" s="14">
        <v>5.8531391782948106</v>
      </c>
      <c r="V233" s="15">
        <v>1</v>
      </c>
      <c r="W233" s="16">
        <v>880802404.65116274</v>
      </c>
      <c r="X233" s="16">
        <v>-4274656658.3488374</v>
      </c>
    </row>
    <row r="234" spans="1:24" x14ac:dyDescent="0.45">
      <c r="A234" s="3" t="s">
        <v>43</v>
      </c>
      <c r="B234" s="3" t="s">
        <v>92</v>
      </c>
      <c r="C234" s="3" t="s">
        <v>101</v>
      </c>
      <c r="D234" s="5">
        <v>5155459063</v>
      </c>
      <c r="E234" s="6">
        <v>45836</v>
      </c>
      <c r="F234" s="7">
        <v>46112</v>
      </c>
      <c r="G234" s="7">
        <f t="shared" si="12"/>
        <v>45961</v>
      </c>
      <c r="H234" s="8">
        <v>9.1</v>
      </c>
      <c r="I234" s="8">
        <v>-4.0999999999999996</v>
      </c>
      <c r="J234" s="9">
        <v>5</v>
      </c>
      <c r="K234" s="3">
        <v>11</v>
      </c>
      <c r="L234" s="17">
        <f t="shared" si="11"/>
        <v>0.625</v>
      </c>
      <c r="M234" s="17">
        <v>0.5</v>
      </c>
      <c r="N234" s="17">
        <v>0.5</v>
      </c>
      <c r="O234" s="13">
        <v>378745034</v>
      </c>
      <c r="P234" s="13">
        <v>378745034</v>
      </c>
      <c r="Q234" s="13">
        <v>2577729531.5</v>
      </c>
      <c r="R234" s="13">
        <v>2577729531.5</v>
      </c>
      <c r="S234" s="13">
        <v>2198984497.5</v>
      </c>
      <c r="T234" s="13">
        <v>0</v>
      </c>
      <c r="U234" s="14">
        <v>6.8059757887148962</v>
      </c>
      <c r="V234" s="15">
        <v>1</v>
      </c>
      <c r="W234" s="16">
        <v>757490068</v>
      </c>
      <c r="X234" s="16">
        <v>-4397968995</v>
      </c>
    </row>
    <row r="235" spans="1:24" x14ac:dyDescent="0.45">
      <c r="A235" s="3" t="s">
        <v>43</v>
      </c>
      <c r="B235" s="3" t="s">
        <v>92</v>
      </c>
      <c r="C235" s="3" t="s">
        <v>101</v>
      </c>
      <c r="D235" s="5">
        <v>5155459063</v>
      </c>
      <c r="E235" s="6">
        <v>45836</v>
      </c>
      <c r="F235" s="7">
        <v>46112</v>
      </c>
      <c r="G235" s="7">
        <f t="shared" si="12"/>
        <v>45991</v>
      </c>
      <c r="H235" s="8">
        <v>9.1</v>
      </c>
      <c r="I235" s="8">
        <v>-3.0999999999999996</v>
      </c>
      <c r="J235" s="9">
        <v>6</v>
      </c>
      <c r="K235" s="3">
        <v>11</v>
      </c>
      <c r="L235" s="17">
        <f t="shared" si="11"/>
        <v>0.75</v>
      </c>
      <c r="M235" s="17">
        <v>0.65</v>
      </c>
      <c r="N235" s="17">
        <v>0.65</v>
      </c>
      <c r="O235" s="13">
        <v>378745034</v>
      </c>
      <c r="P235" s="13">
        <v>378745034</v>
      </c>
      <c r="Q235" s="13">
        <v>3351048390.9500003</v>
      </c>
      <c r="R235" s="13">
        <v>3351048390.9500003</v>
      </c>
      <c r="S235" s="13">
        <v>2972303356.9500003</v>
      </c>
      <c r="T235" s="13">
        <v>0</v>
      </c>
      <c r="U235" s="14">
        <v>8.8477685253293661</v>
      </c>
      <c r="V235" s="15">
        <v>1</v>
      </c>
      <c r="W235" s="16">
        <v>582684667.69230759</v>
      </c>
      <c r="X235" s="16">
        <v>-4572774395.3076925</v>
      </c>
    </row>
    <row r="236" spans="1:24" x14ac:dyDescent="0.45">
      <c r="A236" s="3" t="s">
        <v>43</v>
      </c>
      <c r="B236" s="3" t="s">
        <v>92</v>
      </c>
      <c r="C236" s="3" t="s">
        <v>101</v>
      </c>
      <c r="D236" s="5">
        <v>5155459063</v>
      </c>
      <c r="E236" s="6">
        <v>45836</v>
      </c>
      <c r="F236" s="7">
        <v>46112</v>
      </c>
      <c r="G236" s="7">
        <f t="shared" si="12"/>
        <v>46022</v>
      </c>
      <c r="H236" s="8">
        <v>9.1</v>
      </c>
      <c r="I236" s="8">
        <v>-2.0999999999999996</v>
      </c>
      <c r="J236" s="9">
        <v>7</v>
      </c>
      <c r="K236" s="3">
        <v>11</v>
      </c>
      <c r="L236" s="17">
        <f t="shared" si="11"/>
        <v>0.875</v>
      </c>
      <c r="M236" s="17">
        <v>0.7</v>
      </c>
      <c r="N236" s="17">
        <v>0.7</v>
      </c>
      <c r="O236" s="13">
        <v>378745034</v>
      </c>
      <c r="P236" s="13">
        <v>378745034</v>
      </c>
      <c r="Q236" s="13">
        <v>3608821344.0999999</v>
      </c>
      <c r="R236" s="13">
        <v>3608821344.0999999</v>
      </c>
      <c r="S236" s="13">
        <v>3230076310.0999999</v>
      </c>
      <c r="T236" s="13">
        <v>0</v>
      </c>
      <c r="U236" s="14">
        <v>9.5283661042008543</v>
      </c>
      <c r="V236" s="15">
        <v>1</v>
      </c>
      <c r="W236" s="16">
        <v>541064334.28571427</v>
      </c>
      <c r="X236" s="16">
        <v>-4614394728.7142859</v>
      </c>
    </row>
    <row r="237" spans="1:24" x14ac:dyDescent="0.45">
      <c r="A237" s="3" t="s">
        <v>43</v>
      </c>
      <c r="B237" s="3" t="s">
        <v>92</v>
      </c>
      <c r="C237" s="3" t="s">
        <v>101</v>
      </c>
      <c r="D237" s="5">
        <v>5155459063</v>
      </c>
      <c r="E237" s="6">
        <v>45836</v>
      </c>
      <c r="F237" s="7">
        <v>46112</v>
      </c>
      <c r="G237" s="7">
        <f t="shared" si="12"/>
        <v>46053</v>
      </c>
      <c r="H237" s="8">
        <v>9.1</v>
      </c>
      <c r="I237" s="8">
        <v>-1.0999999999999996</v>
      </c>
      <c r="J237" s="9">
        <v>8</v>
      </c>
      <c r="K237" s="3">
        <v>11</v>
      </c>
      <c r="L237" s="17">
        <f t="shared" si="11"/>
        <v>1</v>
      </c>
      <c r="M237" s="17">
        <v>0.75</v>
      </c>
      <c r="N237" s="17">
        <v>0.75</v>
      </c>
      <c r="O237" s="13">
        <v>772290883</v>
      </c>
      <c r="P237" s="13">
        <v>772290883</v>
      </c>
      <c r="Q237" s="13">
        <v>3866594297.25</v>
      </c>
      <c r="R237" s="13">
        <v>3866594297.25</v>
      </c>
      <c r="S237" s="13">
        <v>3094303414.25</v>
      </c>
      <c r="T237" s="13">
        <v>0</v>
      </c>
      <c r="U237" s="14">
        <v>5.006655370875329</v>
      </c>
      <c r="V237" s="15">
        <v>1</v>
      </c>
      <c r="W237" s="16">
        <v>1029721177.3333333</v>
      </c>
      <c r="X237" s="16">
        <v>-4125737885.666667</v>
      </c>
    </row>
    <row r="238" spans="1:24" x14ac:dyDescent="0.45">
      <c r="A238" s="3" t="s">
        <v>15</v>
      </c>
      <c r="B238" s="3" t="s">
        <v>83</v>
      </c>
      <c r="C238" s="3" t="s">
        <v>102</v>
      </c>
      <c r="D238" s="5">
        <v>81162217</v>
      </c>
      <c r="E238" s="6">
        <v>45444</v>
      </c>
      <c r="F238" s="7">
        <v>45595</v>
      </c>
      <c r="G238" s="7">
        <f t="shared" si="12"/>
        <v>45473</v>
      </c>
      <c r="H238" s="8">
        <v>4.97</v>
      </c>
      <c r="I238" s="8">
        <v>-3.9699999999999998</v>
      </c>
      <c r="J238" s="9">
        <v>1</v>
      </c>
      <c r="K238" s="3">
        <v>5</v>
      </c>
      <c r="L238" s="17">
        <f t="shared" si="11"/>
        <v>0.16666666666666666</v>
      </c>
      <c r="M238" s="17">
        <v>0.1</v>
      </c>
      <c r="N238" s="17">
        <v>0.1</v>
      </c>
      <c r="O238" s="13">
        <v>16232443</v>
      </c>
      <c r="P238" s="13">
        <v>16232443</v>
      </c>
      <c r="Q238" s="13">
        <v>8116221.7000000002</v>
      </c>
      <c r="R238" s="13">
        <v>8116221.7000000002</v>
      </c>
      <c r="S238" s="13">
        <v>-8116221.2999999998</v>
      </c>
      <c r="T238" s="13">
        <v>0</v>
      </c>
      <c r="U238" s="14">
        <v>0.50000001232100433</v>
      </c>
      <c r="V238" s="15">
        <v>1</v>
      </c>
      <c r="W238" s="16">
        <v>162324430</v>
      </c>
      <c r="X238" s="16">
        <v>81162213</v>
      </c>
    </row>
    <row r="239" spans="1:24" x14ac:dyDescent="0.45">
      <c r="A239" s="3" t="s">
        <v>15</v>
      </c>
      <c r="B239" s="3" t="s">
        <v>83</v>
      </c>
      <c r="C239" s="3" t="s">
        <v>102</v>
      </c>
      <c r="D239" s="5">
        <v>81162217</v>
      </c>
      <c r="E239" s="6">
        <v>45444</v>
      </c>
      <c r="F239" s="7">
        <v>45595</v>
      </c>
      <c r="G239" s="7">
        <f t="shared" si="12"/>
        <v>45504</v>
      </c>
      <c r="H239" s="8">
        <v>4.97</v>
      </c>
      <c r="I239" s="8">
        <v>-2.9699999999999998</v>
      </c>
      <c r="J239" s="9">
        <v>2</v>
      </c>
      <c r="K239" s="3">
        <v>5</v>
      </c>
      <c r="L239" s="17">
        <f t="shared" si="11"/>
        <v>0.33333333333333331</v>
      </c>
      <c r="M239" s="17">
        <v>0.25</v>
      </c>
      <c r="N239" s="17">
        <v>0.2</v>
      </c>
      <c r="O239" s="13">
        <v>13712443</v>
      </c>
      <c r="P239" s="13">
        <v>13712443</v>
      </c>
      <c r="Q239" s="13">
        <v>16232443.4</v>
      </c>
      <c r="R239" s="13">
        <v>20290554.25</v>
      </c>
      <c r="S239" s="13">
        <v>2520000.4000000004</v>
      </c>
      <c r="T239" s="13">
        <v>-4058110.8499999996</v>
      </c>
      <c r="U239" s="14">
        <v>1.1837747219806127</v>
      </c>
      <c r="V239" s="15">
        <v>0.8</v>
      </c>
      <c r="W239" s="16">
        <v>68562215</v>
      </c>
      <c r="X239" s="16">
        <v>-12600002</v>
      </c>
    </row>
    <row r="240" spans="1:24" x14ac:dyDescent="0.45">
      <c r="A240" s="3" t="s">
        <v>15</v>
      </c>
      <c r="B240" s="3" t="s">
        <v>83</v>
      </c>
      <c r="C240" s="3" t="s">
        <v>102</v>
      </c>
      <c r="D240" s="5">
        <v>81162217</v>
      </c>
      <c r="E240" s="6">
        <v>45444</v>
      </c>
      <c r="F240" s="7">
        <v>45595</v>
      </c>
      <c r="G240" s="7">
        <f t="shared" si="12"/>
        <v>45535</v>
      </c>
      <c r="H240" s="8">
        <v>4.97</v>
      </c>
      <c r="I240" s="8">
        <v>-1.9699999999999998</v>
      </c>
      <c r="J240" s="9">
        <v>3</v>
      </c>
      <c r="K240" s="3">
        <v>5</v>
      </c>
      <c r="L240" s="17">
        <f t="shared" si="11"/>
        <v>0.5</v>
      </c>
      <c r="M240" s="17">
        <v>0.5</v>
      </c>
      <c r="N240" s="17">
        <v>0.4</v>
      </c>
      <c r="O240" s="13">
        <v>13712443</v>
      </c>
      <c r="P240" s="13">
        <v>13712443</v>
      </c>
      <c r="Q240" s="13">
        <v>32464886.800000001</v>
      </c>
      <c r="R240" s="13">
        <v>40581108.5</v>
      </c>
      <c r="S240" s="13">
        <v>18752443.800000001</v>
      </c>
      <c r="T240" s="13">
        <v>-8116221.6999999993</v>
      </c>
      <c r="U240" s="14">
        <v>2.3675494439612255</v>
      </c>
      <c r="V240" s="15">
        <v>0.8</v>
      </c>
      <c r="W240" s="16">
        <v>34281107.5</v>
      </c>
      <c r="X240" s="16">
        <v>-46881109.5</v>
      </c>
    </row>
    <row r="241" spans="1:24" x14ac:dyDescent="0.45">
      <c r="A241" s="3" t="s">
        <v>15</v>
      </c>
      <c r="B241" s="3" t="s">
        <v>83</v>
      </c>
      <c r="C241" s="3" t="s">
        <v>102</v>
      </c>
      <c r="D241" s="5">
        <v>81162217</v>
      </c>
      <c r="E241" s="6">
        <v>45444</v>
      </c>
      <c r="F241" s="7">
        <v>45595</v>
      </c>
      <c r="G241" s="7">
        <f t="shared" si="12"/>
        <v>45565</v>
      </c>
      <c r="H241" s="8">
        <v>4.97</v>
      </c>
      <c r="I241" s="8">
        <v>-0.96999999999999975</v>
      </c>
      <c r="J241" s="9">
        <v>4</v>
      </c>
      <c r="K241" s="3">
        <v>5</v>
      </c>
      <c r="L241" s="17">
        <f t="shared" si="11"/>
        <v>0.66666666666666663</v>
      </c>
      <c r="M241" s="17">
        <v>0.75</v>
      </c>
      <c r="N241" s="17">
        <v>0.65</v>
      </c>
      <c r="O241" s="13">
        <v>13712443</v>
      </c>
      <c r="P241" s="13">
        <v>13712443</v>
      </c>
      <c r="Q241" s="13">
        <v>52755441.050000004</v>
      </c>
      <c r="R241" s="13">
        <v>60871662.75</v>
      </c>
      <c r="S241" s="13">
        <v>39042998.050000004</v>
      </c>
      <c r="T241" s="13">
        <v>-8116221.6999999955</v>
      </c>
      <c r="U241" s="14">
        <v>3.847267846436992</v>
      </c>
      <c r="V241" s="15">
        <v>0.8666666666666667</v>
      </c>
      <c r="W241" s="16">
        <v>21096066.153846152</v>
      </c>
      <c r="X241" s="16">
        <v>-60066150.846153848</v>
      </c>
    </row>
    <row r="242" spans="1:24" x14ac:dyDescent="0.45">
      <c r="A242" s="3" t="s">
        <v>15</v>
      </c>
      <c r="B242" s="3" t="s">
        <v>83</v>
      </c>
      <c r="C242" s="3" t="s">
        <v>102</v>
      </c>
      <c r="D242" s="5">
        <v>81162217</v>
      </c>
      <c r="E242" s="6">
        <v>45444</v>
      </c>
      <c r="F242" s="7">
        <v>45595</v>
      </c>
      <c r="G242" s="7">
        <f t="shared" si="12"/>
        <v>45596</v>
      </c>
      <c r="H242" s="8">
        <v>4.97</v>
      </c>
      <c r="I242" s="8">
        <v>3.0000000000000249E-2</v>
      </c>
      <c r="J242" s="9">
        <v>5</v>
      </c>
      <c r="K242" s="3">
        <v>5</v>
      </c>
      <c r="L242" s="17">
        <f t="shared" si="11"/>
        <v>0.83333333333333337</v>
      </c>
      <c r="M242" s="17">
        <v>1</v>
      </c>
      <c r="N242" s="17">
        <v>0.85</v>
      </c>
      <c r="O242" s="13">
        <v>13712443</v>
      </c>
      <c r="P242" s="13">
        <v>13712443</v>
      </c>
      <c r="Q242" s="13">
        <v>68987884.450000003</v>
      </c>
      <c r="R242" s="13">
        <v>81162217</v>
      </c>
      <c r="S242" s="13">
        <v>55275441.450000003</v>
      </c>
      <c r="T242" s="13">
        <v>-12174332.549999997</v>
      </c>
      <c r="U242" s="14">
        <v>5.0310425684176048</v>
      </c>
      <c r="V242" s="15">
        <v>0.85000000000000009</v>
      </c>
      <c r="W242" s="16">
        <v>16132285.882352941</v>
      </c>
      <c r="X242" s="16">
        <v>-65029931.117647059</v>
      </c>
    </row>
    <row r="243" spans="1:24" x14ac:dyDescent="0.45">
      <c r="A243" s="3" t="s">
        <v>15</v>
      </c>
      <c r="B243" s="3" t="s">
        <v>83</v>
      </c>
      <c r="C243" s="3" t="s">
        <v>102</v>
      </c>
      <c r="D243" s="5">
        <v>81162217</v>
      </c>
      <c r="E243" s="6">
        <v>45444</v>
      </c>
      <c r="F243" s="7">
        <v>45595</v>
      </c>
      <c r="G243" s="7">
        <f t="shared" si="12"/>
        <v>45626</v>
      </c>
      <c r="H243" s="8">
        <v>4.97</v>
      </c>
      <c r="I243" s="8">
        <v>1.0300000000000002</v>
      </c>
      <c r="J243" s="9">
        <v>6</v>
      </c>
      <c r="K243" s="3">
        <v>5</v>
      </c>
      <c r="L243" s="17">
        <f t="shared" si="11"/>
        <v>1</v>
      </c>
      <c r="M243" s="17">
        <v>1</v>
      </c>
      <c r="N243" s="17">
        <v>1</v>
      </c>
      <c r="O243" s="13">
        <v>10080000</v>
      </c>
      <c r="P243" s="13">
        <v>10080000</v>
      </c>
      <c r="Q243" s="13">
        <v>81162217</v>
      </c>
      <c r="R243" s="13">
        <v>81162217</v>
      </c>
      <c r="S243" s="13">
        <v>71082217</v>
      </c>
      <c r="T243" s="13">
        <v>0</v>
      </c>
      <c r="U243" s="14">
        <v>8.0518072420634912</v>
      </c>
      <c r="V243" s="15">
        <v>1</v>
      </c>
      <c r="W243" s="16">
        <v>10080000.000000002</v>
      </c>
      <c r="X243" s="16">
        <v>-71082217</v>
      </c>
    </row>
    <row r="244" spans="1:24" x14ac:dyDescent="0.45">
      <c r="A244" s="35" t="s">
        <v>4</v>
      </c>
      <c r="B244" s="35" t="s">
        <v>78</v>
      </c>
      <c r="C244" s="35" t="s">
        <v>101</v>
      </c>
      <c r="D244" s="5">
        <v>5280083724</v>
      </c>
      <c r="E244" s="6">
        <v>45300</v>
      </c>
      <c r="F244" s="7">
        <v>45473</v>
      </c>
      <c r="G244" s="7">
        <f t="shared" si="12"/>
        <v>45322</v>
      </c>
      <c r="H244" s="8">
        <v>5.7</v>
      </c>
      <c r="I244" s="8">
        <v>-4.7</v>
      </c>
      <c r="J244" s="3">
        <v>1</v>
      </c>
      <c r="K244" s="3">
        <v>6</v>
      </c>
      <c r="L244" s="17">
        <f t="shared" si="11"/>
        <v>0.125</v>
      </c>
      <c r="M244" s="17">
        <v>0.2</v>
      </c>
      <c r="N244" s="17">
        <v>0.25</v>
      </c>
      <c r="O244" s="13">
        <v>35266820</v>
      </c>
      <c r="P244" s="13">
        <v>35266820</v>
      </c>
      <c r="Q244" s="13">
        <v>1320020931</v>
      </c>
      <c r="R244" s="13">
        <v>1056016744.8000001</v>
      </c>
      <c r="S244" s="13">
        <v>1284754111</v>
      </c>
      <c r="T244" s="13">
        <v>264004186.19999993</v>
      </c>
      <c r="U244" s="14">
        <v>37.429542300666746</v>
      </c>
      <c r="V244" s="15">
        <v>1.25</v>
      </c>
      <c r="W244" s="16">
        <v>141067280</v>
      </c>
      <c r="X244" s="16">
        <v>-5139016444</v>
      </c>
    </row>
    <row r="245" spans="1:24" x14ac:dyDescent="0.45">
      <c r="A245" s="35" t="s">
        <v>4</v>
      </c>
      <c r="B245" s="35" t="s">
        <v>78</v>
      </c>
      <c r="C245" s="35" t="s">
        <v>101</v>
      </c>
      <c r="D245" s="5">
        <v>5280083724</v>
      </c>
      <c r="E245" s="6">
        <v>45300</v>
      </c>
      <c r="F245" s="7">
        <v>45473</v>
      </c>
      <c r="G245" s="7">
        <f t="shared" si="12"/>
        <v>45351</v>
      </c>
      <c r="H245" s="8">
        <v>5.7</v>
      </c>
      <c r="I245" s="8">
        <v>-3.7</v>
      </c>
      <c r="J245" s="3">
        <v>2</v>
      </c>
      <c r="K245" s="3">
        <v>6</v>
      </c>
      <c r="L245" s="17">
        <f t="shared" si="11"/>
        <v>0.25</v>
      </c>
      <c r="M245" s="17">
        <v>0.45</v>
      </c>
      <c r="N245" s="17">
        <v>0.35</v>
      </c>
      <c r="O245" s="13">
        <v>4039374977</v>
      </c>
      <c r="P245" s="13">
        <v>4039374977</v>
      </c>
      <c r="Q245" s="13">
        <v>1848029303.3999999</v>
      </c>
      <c r="R245" s="13">
        <v>2376037675.8000002</v>
      </c>
      <c r="S245" s="13">
        <v>-2191345673.6000004</v>
      </c>
      <c r="T245" s="13">
        <v>-528008372.40000033</v>
      </c>
      <c r="U245" s="14">
        <v>0.45750377568871092</v>
      </c>
      <c r="V245" s="15">
        <v>0.77777777777777768</v>
      </c>
      <c r="W245" s="16">
        <v>11541071362.857143</v>
      </c>
      <c r="X245" s="16">
        <v>6260987638.8571434</v>
      </c>
    </row>
    <row r="246" spans="1:24" x14ac:dyDescent="0.45">
      <c r="A246" s="35" t="s">
        <v>4</v>
      </c>
      <c r="B246" s="35" t="s">
        <v>78</v>
      </c>
      <c r="C246" s="35" t="s">
        <v>101</v>
      </c>
      <c r="D246" s="5">
        <v>5280083724</v>
      </c>
      <c r="E246" s="6">
        <v>45300</v>
      </c>
      <c r="F246" s="7">
        <v>45473</v>
      </c>
      <c r="G246" s="7">
        <f t="shared" si="12"/>
        <v>45382</v>
      </c>
      <c r="H246" s="8">
        <v>5.7</v>
      </c>
      <c r="I246" s="8">
        <v>-2.7</v>
      </c>
      <c r="J246" s="3">
        <v>3</v>
      </c>
      <c r="K246" s="3">
        <v>6</v>
      </c>
      <c r="L246" s="17">
        <f t="shared" si="11"/>
        <v>0.375</v>
      </c>
      <c r="M246" s="17">
        <v>0.6</v>
      </c>
      <c r="N246" s="17">
        <v>0.38</v>
      </c>
      <c r="O246" s="13">
        <v>1072838872</v>
      </c>
      <c r="P246" s="13">
        <v>1072838872</v>
      </c>
      <c r="Q246" s="13">
        <v>2006431815.1200001</v>
      </c>
      <c r="R246" s="13">
        <v>3168050234.4000001</v>
      </c>
      <c r="S246" s="13">
        <v>933592943.12000012</v>
      </c>
      <c r="T246" s="13">
        <v>-1161618419.28</v>
      </c>
      <c r="U246" s="14">
        <v>1.8702079757602221</v>
      </c>
      <c r="V246" s="15">
        <v>0.6333333333333333</v>
      </c>
      <c r="W246" s="16">
        <v>2823260189.4736843</v>
      </c>
      <c r="X246" s="16">
        <v>-2456823534.5263157</v>
      </c>
    </row>
    <row r="247" spans="1:24" x14ac:dyDescent="0.45">
      <c r="A247" s="35" t="s">
        <v>4</v>
      </c>
      <c r="B247" s="35" t="s">
        <v>78</v>
      </c>
      <c r="C247" s="35" t="s">
        <v>101</v>
      </c>
      <c r="D247" s="5">
        <v>5280083724</v>
      </c>
      <c r="E247" s="6">
        <v>45300</v>
      </c>
      <c r="F247" s="7">
        <v>45473</v>
      </c>
      <c r="G247" s="7">
        <f t="shared" si="12"/>
        <v>45412</v>
      </c>
      <c r="H247" s="8">
        <v>5.7</v>
      </c>
      <c r="I247" s="8">
        <v>-1.7000000000000002</v>
      </c>
      <c r="J247" s="3">
        <v>4</v>
      </c>
      <c r="K247" s="3">
        <v>6</v>
      </c>
      <c r="L247" s="17">
        <f t="shared" si="11"/>
        <v>0.5</v>
      </c>
      <c r="M247" s="17">
        <v>0.75</v>
      </c>
      <c r="N247" s="17">
        <v>0.49</v>
      </c>
      <c r="O247" s="13">
        <v>35266820</v>
      </c>
      <c r="P247" s="13">
        <v>35266820</v>
      </c>
      <c r="Q247" s="13">
        <v>2587241024.7599998</v>
      </c>
      <c r="R247" s="13">
        <v>3960062793</v>
      </c>
      <c r="S247" s="13">
        <v>2551974204.7599998</v>
      </c>
      <c r="T247" s="13">
        <v>-1372821768.2400002</v>
      </c>
      <c r="U247" s="14">
        <v>73.361902909306821</v>
      </c>
      <c r="V247" s="15">
        <v>0.65333333333333332</v>
      </c>
      <c r="W247" s="16">
        <v>71973102.040816322</v>
      </c>
      <c r="X247" s="16">
        <v>-5208110621.9591837</v>
      </c>
    </row>
    <row r="248" spans="1:24" x14ac:dyDescent="0.45">
      <c r="A248" s="35" t="s">
        <v>4</v>
      </c>
      <c r="B248" s="35" t="s">
        <v>78</v>
      </c>
      <c r="C248" s="35" t="s">
        <v>101</v>
      </c>
      <c r="D248" s="5">
        <v>5280083724</v>
      </c>
      <c r="E248" s="6">
        <v>45300</v>
      </c>
      <c r="F248" s="7">
        <v>45473</v>
      </c>
      <c r="G248" s="7">
        <f t="shared" si="12"/>
        <v>45443</v>
      </c>
      <c r="H248" s="8">
        <v>5.7</v>
      </c>
      <c r="I248" s="8">
        <v>-0.70000000000000018</v>
      </c>
      <c r="J248" s="3">
        <v>5</v>
      </c>
      <c r="K248" s="3">
        <v>6</v>
      </c>
      <c r="L248" s="17">
        <f t="shared" si="11"/>
        <v>0.625</v>
      </c>
      <c r="M248" s="17">
        <v>0.8</v>
      </c>
      <c r="N248" s="17">
        <v>0.6</v>
      </c>
      <c r="O248" s="13">
        <v>35266820</v>
      </c>
      <c r="P248" s="13">
        <v>35266820</v>
      </c>
      <c r="Q248" s="13">
        <v>3168050234.4000001</v>
      </c>
      <c r="R248" s="13">
        <v>4224066979.2000003</v>
      </c>
      <c r="S248" s="13">
        <v>3132783414.4000001</v>
      </c>
      <c r="T248" s="13">
        <v>-1056016744.8000002</v>
      </c>
      <c r="U248" s="14">
        <v>89.830901521600197</v>
      </c>
      <c r="V248" s="15">
        <v>0.75</v>
      </c>
      <c r="W248" s="16">
        <v>58778033.333333328</v>
      </c>
      <c r="X248" s="16">
        <v>-5221305690.666667</v>
      </c>
    </row>
    <row r="249" spans="1:24" x14ac:dyDescent="0.45">
      <c r="A249" s="35" t="s">
        <v>4</v>
      </c>
      <c r="B249" s="35" t="s">
        <v>78</v>
      </c>
      <c r="C249" s="35" t="s">
        <v>101</v>
      </c>
      <c r="D249" s="5">
        <v>5280083724</v>
      </c>
      <c r="E249" s="6">
        <v>45300</v>
      </c>
      <c r="F249" s="7">
        <v>45473</v>
      </c>
      <c r="G249" s="7">
        <f t="shared" si="12"/>
        <v>45473</v>
      </c>
      <c r="H249" s="8">
        <v>5.7</v>
      </c>
      <c r="I249" s="8">
        <v>0.29999999999999982</v>
      </c>
      <c r="J249" s="3">
        <v>6</v>
      </c>
      <c r="K249" s="3">
        <v>6</v>
      </c>
      <c r="L249" s="17">
        <f t="shared" si="11"/>
        <v>0.75</v>
      </c>
      <c r="M249" s="17">
        <v>1</v>
      </c>
      <c r="N249" s="17">
        <v>0.78</v>
      </c>
      <c r="O249" s="13">
        <v>35266820</v>
      </c>
      <c r="P249" s="13">
        <v>35266820</v>
      </c>
      <c r="Q249" s="13">
        <v>4118465304.7200003</v>
      </c>
      <c r="R249" s="13">
        <v>5280083724</v>
      </c>
      <c r="S249" s="13">
        <v>4083198484.7200003</v>
      </c>
      <c r="T249" s="13">
        <v>-1161618419.2799997</v>
      </c>
      <c r="U249" s="14">
        <v>116.78017197808025</v>
      </c>
      <c r="V249" s="15">
        <v>0.78</v>
      </c>
      <c r="W249" s="16">
        <v>45213871.794871792</v>
      </c>
      <c r="X249" s="16">
        <v>-5234869852.2051287</v>
      </c>
    </row>
    <row r="250" spans="1:24" x14ac:dyDescent="0.45">
      <c r="A250" s="35" t="s">
        <v>4</v>
      </c>
      <c r="B250" s="35" t="s">
        <v>78</v>
      </c>
      <c r="C250" s="35" t="s">
        <v>101</v>
      </c>
      <c r="D250" s="5">
        <v>5280083724</v>
      </c>
      <c r="E250" s="6">
        <v>45300</v>
      </c>
      <c r="F250" s="7">
        <v>45473</v>
      </c>
      <c r="G250" s="7">
        <f t="shared" si="12"/>
        <v>45504</v>
      </c>
      <c r="H250" s="8">
        <v>5.7</v>
      </c>
      <c r="I250" s="8">
        <v>1.2999999999999998</v>
      </c>
      <c r="J250" s="3">
        <v>7</v>
      </c>
      <c r="K250" s="3">
        <v>6</v>
      </c>
      <c r="L250" s="17">
        <f t="shared" si="11"/>
        <v>0.875</v>
      </c>
      <c r="M250" s="17">
        <v>1</v>
      </c>
      <c r="N250" s="17">
        <v>0.9</v>
      </c>
      <c r="O250" s="13">
        <v>13401297</v>
      </c>
      <c r="P250" s="13">
        <v>13401297</v>
      </c>
      <c r="Q250" s="13">
        <v>4752075351.6000004</v>
      </c>
      <c r="R250" s="13">
        <v>5280083724</v>
      </c>
      <c r="S250" s="13">
        <v>4738674054.6000004</v>
      </c>
      <c r="T250" s="13">
        <v>-528008372.39999962</v>
      </c>
      <c r="U250" s="14">
        <v>354.59816699831367</v>
      </c>
      <c r="V250" s="15">
        <v>0.9</v>
      </c>
      <c r="W250" s="16">
        <v>14890330</v>
      </c>
      <c r="X250" s="16">
        <v>-5265193394</v>
      </c>
    </row>
    <row r="251" spans="1:24" x14ac:dyDescent="0.45">
      <c r="A251" s="35" t="s">
        <v>4</v>
      </c>
      <c r="B251" s="35" t="s">
        <v>78</v>
      </c>
      <c r="C251" s="35" t="s">
        <v>101</v>
      </c>
      <c r="D251" s="5">
        <v>5280083724</v>
      </c>
      <c r="E251" s="6">
        <v>45300</v>
      </c>
      <c r="F251" s="7">
        <v>45473</v>
      </c>
      <c r="G251" s="7">
        <f t="shared" si="12"/>
        <v>45535</v>
      </c>
      <c r="H251" s="8">
        <v>5.7</v>
      </c>
      <c r="I251" s="8">
        <v>2.2999999999999998</v>
      </c>
      <c r="J251" s="3">
        <v>8</v>
      </c>
      <c r="K251" s="3">
        <v>6</v>
      </c>
      <c r="L251" s="17">
        <f t="shared" si="11"/>
        <v>1</v>
      </c>
      <c r="M251" s="17">
        <v>1</v>
      </c>
      <c r="N251" s="17">
        <v>1</v>
      </c>
      <c r="O251" s="13">
        <v>13401297</v>
      </c>
      <c r="P251" s="13">
        <v>13401297</v>
      </c>
      <c r="Q251" s="13">
        <v>5280083724</v>
      </c>
      <c r="R251" s="13">
        <v>5280083724</v>
      </c>
      <c r="S251" s="13">
        <v>5266682427</v>
      </c>
      <c r="T251" s="13">
        <v>0</v>
      </c>
      <c r="U251" s="14">
        <v>393.99796333145963</v>
      </c>
      <c r="V251" s="15">
        <v>1</v>
      </c>
      <c r="W251" s="16">
        <v>13401297</v>
      </c>
      <c r="X251" s="16">
        <v>-5266682427</v>
      </c>
    </row>
    <row r="252" spans="1:24" x14ac:dyDescent="0.45">
      <c r="A252" s="3" t="s">
        <v>50</v>
      </c>
      <c r="B252" s="3" t="s">
        <v>80</v>
      </c>
      <c r="C252" s="3" t="s">
        <v>103</v>
      </c>
      <c r="D252" s="5">
        <v>4792442910</v>
      </c>
      <c r="E252" s="6">
        <v>45901</v>
      </c>
      <c r="F252" s="7">
        <v>46264</v>
      </c>
      <c r="G252" s="7">
        <f t="shared" si="12"/>
        <v>45930</v>
      </c>
      <c r="H252" s="8">
        <v>11.97</v>
      </c>
      <c r="I252" s="8">
        <v>-10.97</v>
      </c>
      <c r="J252" s="9">
        <v>1</v>
      </c>
      <c r="K252" s="3">
        <v>12</v>
      </c>
      <c r="L252" s="17">
        <f t="shared" si="11"/>
        <v>0.2</v>
      </c>
      <c r="M252" s="17">
        <v>0.15</v>
      </c>
      <c r="N252" s="17">
        <v>0.15</v>
      </c>
      <c r="O252" s="13">
        <v>478402976</v>
      </c>
      <c r="P252" s="13">
        <v>478402976</v>
      </c>
      <c r="Q252" s="13">
        <v>718866436.5</v>
      </c>
      <c r="R252" s="13">
        <v>718866436.5</v>
      </c>
      <c r="S252" s="13">
        <v>240463460.5</v>
      </c>
      <c r="T252" s="13">
        <v>0</v>
      </c>
      <c r="U252" s="14">
        <v>1.5026378859733516</v>
      </c>
      <c r="V252" s="15">
        <v>1</v>
      </c>
      <c r="W252" s="16">
        <v>3189353173.333333</v>
      </c>
      <c r="X252" s="16">
        <v>-1603089736.666667</v>
      </c>
    </row>
    <row r="253" spans="1:24" x14ac:dyDescent="0.45">
      <c r="A253" s="3" t="s">
        <v>50</v>
      </c>
      <c r="B253" s="3" t="s">
        <v>80</v>
      </c>
      <c r="C253" s="3" t="s">
        <v>103</v>
      </c>
      <c r="D253" s="5">
        <v>4792442910</v>
      </c>
      <c r="E253" s="6">
        <v>45901</v>
      </c>
      <c r="F253" s="7">
        <v>46264</v>
      </c>
      <c r="G253" s="7">
        <f t="shared" si="12"/>
        <v>45961</v>
      </c>
      <c r="H253" s="8">
        <v>11.97</v>
      </c>
      <c r="I253" s="8">
        <v>-9.9700000000000006</v>
      </c>
      <c r="J253" s="9">
        <v>2</v>
      </c>
      <c r="K253" s="3">
        <v>12</v>
      </c>
      <c r="L253" s="17">
        <f t="shared" si="11"/>
        <v>0.4</v>
      </c>
      <c r="M253" s="17">
        <v>0.25</v>
      </c>
      <c r="N253" s="17">
        <v>0.25</v>
      </c>
      <c r="O253" s="13">
        <v>392185449</v>
      </c>
      <c r="P253" s="13">
        <v>392185449</v>
      </c>
      <c r="Q253" s="13">
        <v>1198110727.5</v>
      </c>
      <c r="R253" s="13">
        <v>1198110727.5</v>
      </c>
      <c r="S253" s="13">
        <v>805925278.5</v>
      </c>
      <c r="T253" s="13">
        <v>0</v>
      </c>
      <c r="U253" s="14">
        <v>3.0549596639930412</v>
      </c>
      <c r="V253" s="15">
        <v>1</v>
      </c>
      <c r="W253" s="16">
        <v>1568741796</v>
      </c>
      <c r="X253" s="16">
        <v>-3223701114</v>
      </c>
    </row>
    <row r="254" spans="1:24" x14ac:dyDescent="0.45">
      <c r="A254" s="3" t="s">
        <v>50</v>
      </c>
      <c r="B254" s="3" t="s">
        <v>80</v>
      </c>
      <c r="C254" s="3" t="s">
        <v>103</v>
      </c>
      <c r="D254" s="5">
        <v>4792442910</v>
      </c>
      <c r="E254" s="6">
        <v>45901</v>
      </c>
      <c r="F254" s="7">
        <v>46264</v>
      </c>
      <c r="G254" s="7">
        <f t="shared" si="12"/>
        <v>45991</v>
      </c>
      <c r="H254" s="8">
        <v>11.97</v>
      </c>
      <c r="I254" s="8">
        <v>-8.9700000000000006</v>
      </c>
      <c r="J254" s="9">
        <v>3</v>
      </c>
      <c r="K254" s="3">
        <v>12</v>
      </c>
      <c r="L254" s="17">
        <f t="shared" si="11"/>
        <v>0.6</v>
      </c>
      <c r="M254" s="17">
        <v>0.3</v>
      </c>
      <c r="N254" s="17">
        <v>0.3</v>
      </c>
      <c r="O254" s="13">
        <v>392185449</v>
      </c>
      <c r="P254" s="13">
        <v>392185449</v>
      </c>
      <c r="Q254" s="13">
        <v>1437732873</v>
      </c>
      <c r="R254" s="13">
        <v>1437732873</v>
      </c>
      <c r="S254" s="13">
        <v>1045547424</v>
      </c>
      <c r="T254" s="13">
        <v>0</v>
      </c>
      <c r="U254" s="14">
        <v>3.6659515967916496</v>
      </c>
      <c r="V254" s="15">
        <v>1</v>
      </c>
      <c r="W254" s="16">
        <v>1307284830</v>
      </c>
      <c r="X254" s="16">
        <v>-3485158080</v>
      </c>
    </row>
    <row r="255" spans="1:24" x14ac:dyDescent="0.45">
      <c r="A255" s="3" t="s">
        <v>50</v>
      </c>
      <c r="B255" s="3" t="s">
        <v>80</v>
      </c>
      <c r="C255" s="3" t="s">
        <v>103</v>
      </c>
      <c r="D255" s="5">
        <v>4792442910</v>
      </c>
      <c r="E255" s="6">
        <v>45901</v>
      </c>
      <c r="F255" s="7">
        <v>46264</v>
      </c>
      <c r="G255" s="7">
        <f t="shared" si="12"/>
        <v>46022</v>
      </c>
      <c r="H255" s="8">
        <v>11.97</v>
      </c>
      <c r="I255" s="8">
        <v>-7.9700000000000006</v>
      </c>
      <c r="J255" s="9">
        <v>4</v>
      </c>
      <c r="K255" s="3">
        <v>12</v>
      </c>
      <c r="L255" s="17">
        <f t="shared" si="11"/>
        <v>0.8</v>
      </c>
      <c r="M255" s="17">
        <v>0.35</v>
      </c>
      <c r="N255" s="17">
        <v>0.35</v>
      </c>
      <c r="O255" s="13">
        <v>392185449</v>
      </c>
      <c r="P255" s="13">
        <v>392185449</v>
      </c>
      <c r="Q255" s="13">
        <v>1677355018.5</v>
      </c>
      <c r="R255" s="13">
        <v>1677355018.5</v>
      </c>
      <c r="S255" s="13">
        <v>1285169569.5</v>
      </c>
      <c r="T255" s="13">
        <v>0</v>
      </c>
      <c r="U255" s="14">
        <v>4.276943529590258</v>
      </c>
      <c r="V255" s="15">
        <v>1</v>
      </c>
      <c r="W255" s="16">
        <v>1120529854.2857141</v>
      </c>
      <c r="X255" s="16">
        <v>-3671913055.7142859</v>
      </c>
    </row>
    <row r="256" spans="1:24" x14ac:dyDescent="0.45">
      <c r="A256" s="3" t="s">
        <v>50</v>
      </c>
      <c r="B256" s="3" t="s">
        <v>80</v>
      </c>
      <c r="C256" s="3" t="s">
        <v>103</v>
      </c>
      <c r="D256" s="5">
        <v>4792442910</v>
      </c>
      <c r="E256" s="6">
        <v>45901</v>
      </c>
      <c r="F256" s="7">
        <v>46264</v>
      </c>
      <c r="G256" s="7">
        <f t="shared" si="12"/>
        <v>46053</v>
      </c>
      <c r="H256" s="8">
        <v>11.97</v>
      </c>
      <c r="I256" s="8">
        <v>-6.9700000000000006</v>
      </c>
      <c r="J256" s="9">
        <v>5</v>
      </c>
      <c r="K256" s="3">
        <v>12</v>
      </c>
      <c r="L256" s="17">
        <f t="shared" si="11"/>
        <v>1</v>
      </c>
      <c r="M256" s="17">
        <v>0.5</v>
      </c>
      <c r="N256" s="17">
        <v>0.5</v>
      </c>
      <c r="O256" s="13">
        <v>392185449</v>
      </c>
      <c r="P256" s="13">
        <v>392185449</v>
      </c>
      <c r="Q256" s="13">
        <v>2396221455</v>
      </c>
      <c r="R256" s="13">
        <v>2396221455</v>
      </c>
      <c r="S256" s="13">
        <v>2004036006</v>
      </c>
      <c r="T256" s="13">
        <v>0</v>
      </c>
      <c r="U256" s="14">
        <v>6.1099193279860824</v>
      </c>
      <c r="V256" s="15">
        <v>1</v>
      </c>
      <c r="W256" s="16">
        <v>784370898</v>
      </c>
      <c r="X256" s="16">
        <v>-4008072012</v>
      </c>
    </row>
    <row r="257" spans="1:24" x14ac:dyDescent="0.45">
      <c r="A257" s="3" t="s">
        <v>17</v>
      </c>
      <c r="B257" s="3" t="s">
        <v>79</v>
      </c>
      <c r="C257" s="3" t="s">
        <v>103</v>
      </c>
      <c r="D257" s="5">
        <v>63538000</v>
      </c>
      <c r="E257" s="6">
        <v>45450</v>
      </c>
      <c r="F257" s="7">
        <v>45510</v>
      </c>
      <c r="G257" s="7">
        <f t="shared" si="12"/>
        <v>45473</v>
      </c>
      <c r="H257" s="8">
        <v>1.97</v>
      </c>
      <c r="I257" s="8">
        <v>-0.97</v>
      </c>
      <c r="J257" s="9">
        <v>1</v>
      </c>
      <c r="K257" s="3">
        <v>3</v>
      </c>
      <c r="L257" s="17">
        <f t="shared" si="11"/>
        <v>0.33333333333333331</v>
      </c>
      <c r="M257" s="17">
        <v>0.25</v>
      </c>
      <c r="N257" s="17">
        <v>0.3</v>
      </c>
      <c r="O257" s="13">
        <v>-31769000</v>
      </c>
      <c r="P257" s="13">
        <v>-31769000</v>
      </c>
      <c r="Q257" s="13">
        <v>19061400</v>
      </c>
      <c r="R257" s="13">
        <v>15884500</v>
      </c>
      <c r="S257" s="13">
        <v>50830400</v>
      </c>
      <c r="T257" s="13">
        <v>3176900</v>
      </c>
      <c r="U257" s="14">
        <v>-0.6</v>
      </c>
      <c r="V257" s="15">
        <v>1.2</v>
      </c>
      <c r="W257" s="16">
        <v>-105896666.66666667</v>
      </c>
      <c r="X257" s="16">
        <v>-169434666.66666669</v>
      </c>
    </row>
    <row r="258" spans="1:24" x14ac:dyDescent="0.45">
      <c r="A258" s="3" t="s">
        <v>17</v>
      </c>
      <c r="B258" s="3" t="s">
        <v>79</v>
      </c>
      <c r="C258" s="3" t="s">
        <v>103</v>
      </c>
      <c r="D258" s="5">
        <v>63538000</v>
      </c>
      <c r="E258" s="6">
        <v>45450</v>
      </c>
      <c r="F258" s="7">
        <v>45510</v>
      </c>
      <c r="G258" s="7">
        <f t="shared" si="12"/>
        <v>45504</v>
      </c>
      <c r="H258" s="8">
        <v>1.97</v>
      </c>
      <c r="I258" s="8">
        <v>3.0000000000000027E-2</v>
      </c>
      <c r="J258" s="9">
        <v>2</v>
      </c>
      <c r="K258" s="3">
        <v>3</v>
      </c>
      <c r="L258" s="17">
        <f t="shared" si="11"/>
        <v>0.66666666666666663</v>
      </c>
      <c r="M258" s="17">
        <v>0.5</v>
      </c>
      <c r="N258" s="17">
        <v>0.6</v>
      </c>
      <c r="O258" s="13">
        <v>-31769000</v>
      </c>
      <c r="P258" s="13">
        <v>-31769000</v>
      </c>
      <c r="Q258" s="13">
        <v>38122800</v>
      </c>
      <c r="R258" s="13">
        <v>31769000</v>
      </c>
      <c r="S258" s="13">
        <v>69891800</v>
      </c>
      <c r="T258" s="13">
        <v>6353800</v>
      </c>
      <c r="U258" s="14">
        <v>-1.2</v>
      </c>
      <c r="V258" s="15">
        <v>1.2</v>
      </c>
      <c r="W258" s="16">
        <v>-52948333.333333336</v>
      </c>
      <c r="X258" s="16">
        <v>-116486333.33333334</v>
      </c>
    </row>
    <row r="259" spans="1:24" x14ac:dyDescent="0.45">
      <c r="A259" s="3" t="s">
        <v>17</v>
      </c>
      <c r="B259" s="3" t="s">
        <v>79</v>
      </c>
      <c r="C259" s="3" t="s">
        <v>103</v>
      </c>
      <c r="D259" s="5">
        <v>63538000</v>
      </c>
      <c r="E259" s="6">
        <v>45450</v>
      </c>
      <c r="F259" s="7">
        <v>45510</v>
      </c>
      <c r="G259" s="7">
        <f t="shared" si="12"/>
        <v>45535</v>
      </c>
      <c r="H259" s="8">
        <v>1.97</v>
      </c>
      <c r="I259" s="8">
        <v>1.03</v>
      </c>
      <c r="J259" s="9">
        <v>3</v>
      </c>
      <c r="K259" s="3">
        <v>3</v>
      </c>
      <c r="L259" s="17">
        <f t="shared" ref="L259:L322" si="13">J259/_xlfn.MAXIFS(J259:J656,A259:A656,A259)</f>
        <v>1</v>
      </c>
      <c r="M259" s="17">
        <v>1</v>
      </c>
      <c r="N259" s="17">
        <v>1</v>
      </c>
      <c r="O259" s="13">
        <v>102600000</v>
      </c>
      <c r="P259" s="13">
        <v>102600000</v>
      </c>
      <c r="Q259" s="13">
        <v>63538000</v>
      </c>
      <c r="R259" s="13">
        <v>63538000</v>
      </c>
      <c r="S259" s="13">
        <v>-39062000</v>
      </c>
      <c r="T259" s="13">
        <v>0</v>
      </c>
      <c r="U259" s="14">
        <v>0.61927875243664721</v>
      </c>
      <c r="V259" s="15">
        <v>1</v>
      </c>
      <c r="W259" s="16">
        <v>102600000</v>
      </c>
      <c r="X259" s="16">
        <v>39062000</v>
      </c>
    </row>
    <row r="260" spans="1:24" x14ac:dyDescent="0.45">
      <c r="A260" s="3" t="s">
        <v>16</v>
      </c>
      <c r="B260" s="3" t="s">
        <v>84</v>
      </c>
      <c r="C260" s="3" t="s">
        <v>102</v>
      </c>
      <c r="D260" s="5">
        <v>50362370</v>
      </c>
      <c r="E260" s="6">
        <v>45444</v>
      </c>
      <c r="F260" s="7">
        <v>45503</v>
      </c>
      <c r="G260" s="7">
        <f t="shared" si="12"/>
        <v>45473</v>
      </c>
      <c r="H260" s="8">
        <v>1.97</v>
      </c>
      <c r="I260" s="8">
        <v>-0.97</v>
      </c>
      <c r="J260" s="9">
        <v>1</v>
      </c>
      <c r="K260" s="3">
        <v>2</v>
      </c>
      <c r="L260" s="17">
        <f t="shared" si="13"/>
        <v>0.5</v>
      </c>
      <c r="M260" s="17">
        <v>0.5</v>
      </c>
      <c r="N260" s="17">
        <v>0.5</v>
      </c>
      <c r="O260" s="13">
        <v>25181185</v>
      </c>
      <c r="P260" s="13">
        <v>25181185</v>
      </c>
      <c r="Q260" s="13">
        <v>25181185</v>
      </c>
      <c r="R260" s="13">
        <v>25181185</v>
      </c>
      <c r="S260" s="13">
        <v>0</v>
      </c>
      <c r="T260" s="13">
        <v>0</v>
      </c>
      <c r="U260" s="14">
        <v>1</v>
      </c>
      <c r="V260" s="15">
        <v>1</v>
      </c>
      <c r="W260" s="16">
        <v>50362370</v>
      </c>
      <c r="X260" s="16">
        <v>0</v>
      </c>
    </row>
    <row r="261" spans="1:24" x14ac:dyDescent="0.45">
      <c r="A261" s="3" t="s">
        <v>16</v>
      </c>
      <c r="B261" s="3" t="s">
        <v>84</v>
      </c>
      <c r="C261" s="3" t="s">
        <v>102</v>
      </c>
      <c r="D261" s="5">
        <v>50362370</v>
      </c>
      <c r="E261" s="6">
        <v>45444</v>
      </c>
      <c r="F261" s="7">
        <v>45503</v>
      </c>
      <c r="G261" s="7">
        <f t="shared" si="12"/>
        <v>45504</v>
      </c>
      <c r="H261" s="8">
        <v>1.97</v>
      </c>
      <c r="I261" s="8">
        <v>3.0000000000000027E-2</v>
      </c>
      <c r="J261" s="9">
        <v>2</v>
      </c>
      <c r="K261" s="3">
        <v>2</v>
      </c>
      <c r="L261" s="17">
        <f t="shared" si="13"/>
        <v>1</v>
      </c>
      <c r="M261" s="17">
        <v>1</v>
      </c>
      <c r="N261" s="17">
        <v>1</v>
      </c>
      <c r="O261" s="13">
        <v>25181185</v>
      </c>
      <c r="P261" s="13">
        <v>25181185</v>
      </c>
      <c r="Q261" s="13">
        <v>50362370</v>
      </c>
      <c r="R261" s="13">
        <v>50362370</v>
      </c>
      <c r="S261" s="13">
        <v>25181185</v>
      </c>
      <c r="T261" s="13">
        <v>0</v>
      </c>
      <c r="U261" s="14">
        <v>2</v>
      </c>
      <c r="V261" s="15">
        <v>1</v>
      </c>
      <c r="W261" s="16">
        <v>25181185</v>
      </c>
      <c r="X261" s="16">
        <v>-25181185</v>
      </c>
    </row>
    <row r="262" spans="1:24" x14ac:dyDescent="0.45">
      <c r="A262" s="3" t="s">
        <v>56</v>
      </c>
      <c r="B262" s="3" t="s">
        <v>75</v>
      </c>
      <c r="C262" s="3" t="s">
        <v>101</v>
      </c>
      <c r="D262" s="5">
        <v>93771886</v>
      </c>
      <c r="E262" s="6">
        <v>45931</v>
      </c>
      <c r="F262" s="7">
        <v>47756</v>
      </c>
      <c r="G262" s="7">
        <f t="shared" si="12"/>
        <v>45961</v>
      </c>
      <c r="H262" s="8">
        <v>59.97</v>
      </c>
      <c r="I262" s="8">
        <v>-58.97</v>
      </c>
      <c r="J262" s="9">
        <v>1</v>
      </c>
      <c r="K262" s="3">
        <v>56</v>
      </c>
      <c r="L262" s="17">
        <f t="shared" si="13"/>
        <v>0.33333333333333331</v>
      </c>
      <c r="M262" s="17">
        <v>0.75</v>
      </c>
      <c r="N262" s="17">
        <v>0.75</v>
      </c>
      <c r="O262" s="13">
        <v>130801762</v>
      </c>
      <c r="P262" s="13">
        <v>130801762</v>
      </c>
      <c r="Q262" s="13">
        <v>70328914.5</v>
      </c>
      <c r="R262" s="13">
        <v>70328914.5</v>
      </c>
      <c r="S262" s="13">
        <v>-60472847.5</v>
      </c>
      <c r="T262" s="13">
        <v>0</v>
      </c>
      <c r="U262" s="14">
        <v>0.53767558956889283</v>
      </c>
      <c r="V262" s="15">
        <v>1</v>
      </c>
      <c r="W262" s="16">
        <v>174402349.33333331</v>
      </c>
      <c r="X262" s="16">
        <v>80630463.333333313</v>
      </c>
    </row>
    <row r="263" spans="1:24" x14ac:dyDescent="0.45">
      <c r="A263" s="3" t="s">
        <v>56</v>
      </c>
      <c r="B263" s="3" t="s">
        <v>75</v>
      </c>
      <c r="C263" s="3" t="s">
        <v>101</v>
      </c>
      <c r="D263" s="5">
        <v>93771886</v>
      </c>
      <c r="E263" s="6">
        <v>45931</v>
      </c>
      <c r="F263" s="7">
        <v>47756</v>
      </c>
      <c r="G263" s="7">
        <f t="shared" si="12"/>
        <v>45991</v>
      </c>
      <c r="H263" s="8">
        <v>59.97</v>
      </c>
      <c r="I263" s="8">
        <v>-57.97</v>
      </c>
      <c r="J263" s="9">
        <v>2</v>
      </c>
      <c r="K263" s="3">
        <v>56</v>
      </c>
      <c r="L263" s="25">
        <f t="shared" si="13"/>
        <v>0.66666666666666663</v>
      </c>
      <c r="M263" s="25">
        <v>0.999</v>
      </c>
      <c r="N263" s="25">
        <v>0.999</v>
      </c>
      <c r="O263" s="13">
        <v>312798</v>
      </c>
      <c r="P263" s="13">
        <v>312798</v>
      </c>
      <c r="Q263" s="13">
        <v>93678114.113999993</v>
      </c>
      <c r="R263" s="13">
        <v>93678114.113999993</v>
      </c>
      <c r="S263" s="13">
        <v>93365316.113999993</v>
      </c>
      <c r="T263" s="13">
        <v>0</v>
      </c>
      <c r="U263" s="14">
        <v>299.48437686302339</v>
      </c>
      <c r="V263" s="15">
        <v>1</v>
      </c>
      <c r="W263" s="16">
        <v>313111.11111111112</v>
      </c>
      <c r="X263" s="16">
        <v>-93458774.888888896</v>
      </c>
    </row>
    <row r="264" spans="1:24" x14ac:dyDescent="0.45">
      <c r="A264" s="3" t="s">
        <v>56</v>
      </c>
      <c r="B264" s="3" t="s">
        <v>75</v>
      </c>
      <c r="C264" s="3" t="s">
        <v>101</v>
      </c>
      <c r="D264" s="5">
        <v>93771886</v>
      </c>
      <c r="E264" s="6">
        <v>45931</v>
      </c>
      <c r="F264" s="7">
        <v>47756</v>
      </c>
      <c r="G264" s="7">
        <f t="shared" si="12"/>
        <v>46022</v>
      </c>
      <c r="H264" s="8">
        <v>59.97</v>
      </c>
      <c r="I264" s="8">
        <v>-56.97</v>
      </c>
      <c r="J264" s="9">
        <v>3</v>
      </c>
      <c r="K264" s="3">
        <v>56</v>
      </c>
      <c r="L264" s="25">
        <f t="shared" si="13"/>
        <v>1</v>
      </c>
      <c r="M264" s="25">
        <v>0.999</v>
      </c>
      <c r="N264" s="25">
        <v>0.999</v>
      </c>
      <c r="O264" s="13">
        <v>0</v>
      </c>
      <c r="P264" s="13">
        <v>0</v>
      </c>
      <c r="Q264" s="13">
        <v>93678114.113999993</v>
      </c>
      <c r="R264" s="13">
        <v>93678114.113999993</v>
      </c>
      <c r="S264" s="13">
        <v>93678114.113999993</v>
      </c>
      <c r="T264" s="13">
        <v>0</v>
      </c>
      <c r="U264" s="40">
        <v>1</v>
      </c>
      <c r="V264" s="15">
        <v>1</v>
      </c>
      <c r="W264" s="16">
        <v>0</v>
      </c>
      <c r="X264" s="16">
        <v>-93771886</v>
      </c>
    </row>
    <row r="265" spans="1:24" x14ac:dyDescent="0.45">
      <c r="A265" s="3" t="s">
        <v>2</v>
      </c>
      <c r="B265" s="3" t="s">
        <v>76</v>
      </c>
      <c r="C265" s="3" t="s">
        <v>101</v>
      </c>
      <c r="D265" s="5">
        <v>13344287960</v>
      </c>
      <c r="E265" s="6">
        <v>45292</v>
      </c>
      <c r="F265" s="7">
        <v>45381</v>
      </c>
      <c r="G265" s="7">
        <f t="shared" ref="G265:G267" si="14">EOMONTH(E265,J265-1)</f>
        <v>45322</v>
      </c>
      <c r="H265" s="8">
        <v>2.97</v>
      </c>
      <c r="I265" s="8">
        <v>-1.9700000000000002</v>
      </c>
      <c r="J265" s="9">
        <v>1</v>
      </c>
      <c r="K265" s="10">
        <v>3</v>
      </c>
      <c r="L265" s="17">
        <f t="shared" si="13"/>
        <v>0.33333333333333331</v>
      </c>
      <c r="M265" s="17">
        <v>0.3</v>
      </c>
      <c r="N265" s="17">
        <v>0.25</v>
      </c>
      <c r="O265" s="13">
        <v>1589891803</v>
      </c>
      <c r="P265" s="13">
        <v>1589891803</v>
      </c>
      <c r="Q265" s="13">
        <v>3336071990</v>
      </c>
      <c r="R265" s="13">
        <v>4003286388</v>
      </c>
      <c r="S265" s="13">
        <v>1746180187</v>
      </c>
      <c r="T265" s="13">
        <v>-667214398</v>
      </c>
      <c r="U265" s="14">
        <v>2.098301270378963</v>
      </c>
      <c r="V265" s="15">
        <v>0.83333333333333337</v>
      </c>
      <c r="W265" s="16">
        <v>6359567212</v>
      </c>
      <c r="X265" s="16">
        <v>-6984720748</v>
      </c>
    </row>
    <row r="266" spans="1:24" x14ac:dyDescent="0.45">
      <c r="A266" s="3" t="s">
        <v>2</v>
      </c>
      <c r="B266" s="3" t="s">
        <v>76</v>
      </c>
      <c r="C266" s="3" t="s">
        <v>101</v>
      </c>
      <c r="D266" s="5">
        <v>13344287960</v>
      </c>
      <c r="E266" s="6">
        <v>45292</v>
      </c>
      <c r="F266" s="7">
        <v>45381</v>
      </c>
      <c r="G266" s="7">
        <f t="shared" si="14"/>
        <v>45351</v>
      </c>
      <c r="H266" s="8">
        <v>2.97</v>
      </c>
      <c r="I266" s="8">
        <v>-0.9700000000000002</v>
      </c>
      <c r="J266" s="9">
        <v>2</v>
      </c>
      <c r="K266" s="10">
        <v>3</v>
      </c>
      <c r="L266" s="17">
        <f t="shared" si="13"/>
        <v>0.66666666666666663</v>
      </c>
      <c r="M266" s="17">
        <v>0.7</v>
      </c>
      <c r="N266" s="17">
        <v>0.65</v>
      </c>
      <c r="O266" s="13">
        <v>3913702428</v>
      </c>
      <c r="P266" s="13">
        <v>2323810625</v>
      </c>
      <c r="Q266" s="13">
        <v>8673787174</v>
      </c>
      <c r="R266" s="13">
        <v>9341001572</v>
      </c>
      <c r="S266" s="13">
        <v>4760084746</v>
      </c>
      <c r="T266" s="13">
        <v>-667214398</v>
      </c>
      <c r="U266" s="14">
        <v>2.2162612854632697</v>
      </c>
      <c r="V266" s="15">
        <v>0.9285714285714286</v>
      </c>
      <c r="W266" s="16">
        <v>6021080658.4615383</v>
      </c>
      <c r="X266" s="16">
        <v>-7323207301.5384617</v>
      </c>
    </row>
    <row r="267" spans="1:24" x14ac:dyDescent="0.45">
      <c r="A267" s="3" t="s">
        <v>2</v>
      </c>
      <c r="B267" s="3" t="s">
        <v>76</v>
      </c>
      <c r="C267" s="3" t="s">
        <v>101</v>
      </c>
      <c r="D267" s="5">
        <v>13344287960</v>
      </c>
      <c r="E267" s="6">
        <v>45292</v>
      </c>
      <c r="F267" s="7">
        <v>45381</v>
      </c>
      <c r="G267" s="7">
        <f t="shared" si="14"/>
        <v>45382</v>
      </c>
      <c r="H267" s="8">
        <v>2.97</v>
      </c>
      <c r="I267" s="8">
        <v>2.9999999999999805E-2</v>
      </c>
      <c r="J267" s="9">
        <v>3</v>
      </c>
      <c r="K267" s="10">
        <v>3</v>
      </c>
      <c r="L267" s="17">
        <f t="shared" si="13"/>
        <v>1</v>
      </c>
      <c r="M267" s="17">
        <v>1</v>
      </c>
      <c r="N267" s="17">
        <v>1</v>
      </c>
      <c r="O267" s="13">
        <v>6237513053</v>
      </c>
      <c r="P267" s="13">
        <v>2323810625</v>
      </c>
      <c r="Q267" s="13">
        <v>13344287960</v>
      </c>
      <c r="R267" s="13">
        <v>13344287960</v>
      </c>
      <c r="S267" s="13">
        <v>7106774907</v>
      </c>
      <c r="T267" s="13">
        <v>0</v>
      </c>
      <c r="U267" s="14">
        <v>2.1393603262412282</v>
      </c>
      <c r="V267" s="15">
        <v>1</v>
      </c>
      <c r="W267" s="16">
        <v>6237513053</v>
      </c>
      <c r="X267" s="16">
        <v>-7106774907</v>
      </c>
    </row>
    <row r="268" spans="1:24" x14ac:dyDescent="0.45">
      <c r="A268" s="3" t="s">
        <v>44</v>
      </c>
      <c r="B268" s="3" t="s">
        <v>80</v>
      </c>
      <c r="C268" s="3" t="s">
        <v>103</v>
      </c>
      <c r="D268" s="5">
        <v>5018888965</v>
      </c>
      <c r="E268" s="6">
        <v>45870</v>
      </c>
      <c r="F268" s="7">
        <v>46022</v>
      </c>
      <c r="G268" s="7">
        <f t="shared" ref="G268:G285" si="15">EOMONTH(E268,J268-1)</f>
        <v>45900</v>
      </c>
      <c r="H268" s="8">
        <v>5</v>
      </c>
      <c r="I268" s="8">
        <v>-4</v>
      </c>
      <c r="J268" s="9">
        <v>1</v>
      </c>
      <c r="K268" s="3">
        <v>5</v>
      </c>
      <c r="L268" s="17">
        <f t="shared" si="13"/>
        <v>0.2</v>
      </c>
      <c r="M268" s="17">
        <v>0.1</v>
      </c>
      <c r="N268" s="17">
        <v>0.1</v>
      </c>
      <c r="O268" s="13">
        <v>1003777793</v>
      </c>
      <c r="P268" s="13">
        <v>1003777793</v>
      </c>
      <c r="Q268" s="13">
        <v>501888896.5</v>
      </c>
      <c r="R268" s="13">
        <v>501888896.5</v>
      </c>
      <c r="S268" s="13">
        <v>-501888896.5</v>
      </c>
      <c r="T268" s="13">
        <v>0</v>
      </c>
      <c r="U268" s="14">
        <v>0.5</v>
      </c>
      <c r="V268" s="15">
        <v>1</v>
      </c>
      <c r="W268" s="16">
        <v>10037777930</v>
      </c>
      <c r="X268" s="16">
        <v>5018888965</v>
      </c>
    </row>
    <row r="269" spans="1:24" x14ac:dyDescent="0.45">
      <c r="A269" s="3" t="s">
        <v>44</v>
      </c>
      <c r="B269" s="3" t="s">
        <v>80</v>
      </c>
      <c r="C269" s="3" t="s">
        <v>103</v>
      </c>
      <c r="D269" s="5">
        <v>5018888965</v>
      </c>
      <c r="E269" s="6">
        <v>45870</v>
      </c>
      <c r="F269" s="7">
        <v>46022</v>
      </c>
      <c r="G269" s="7">
        <f t="shared" si="15"/>
        <v>45930</v>
      </c>
      <c r="H269" s="8">
        <v>5</v>
      </c>
      <c r="I269" s="8">
        <v>-3</v>
      </c>
      <c r="J269" s="9">
        <v>2</v>
      </c>
      <c r="K269" s="3">
        <v>5</v>
      </c>
      <c r="L269" s="17">
        <f t="shared" si="13"/>
        <v>0.4</v>
      </c>
      <c r="M269" s="17">
        <v>0.45</v>
      </c>
      <c r="N269" s="17">
        <v>0.45</v>
      </c>
      <c r="O269" s="13">
        <v>1003777793</v>
      </c>
      <c r="P269" s="13">
        <v>1003777793</v>
      </c>
      <c r="Q269" s="13">
        <v>2258500034.25</v>
      </c>
      <c r="R269" s="13">
        <v>2258500034.25</v>
      </c>
      <c r="S269" s="13">
        <v>1254722241.25</v>
      </c>
      <c r="T269" s="13">
        <v>0</v>
      </c>
      <c r="U269" s="14">
        <v>2.25</v>
      </c>
      <c r="V269" s="15">
        <v>1</v>
      </c>
      <c r="W269" s="16">
        <v>2230617317.7777777</v>
      </c>
      <c r="X269" s="16">
        <v>-2788271647.2222223</v>
      </c>
    </row>
    <row r="270" spans="1:24" x14ac:dyDescent="0.45">
      <c r="A270" s="3" t="s">
        <v>44</v>
      </c>
      <c r="B270" s="3" t="s">
        <v>80</v>
      </c>
      <c r="C270" s="3" t="s">
        <v>103</v>
      </c>
      <c r="D270" s="5">
        <v>5018888965</v>
      </c>
      <c r="E270" s="6">
        <v>45870</v>
      </c>
      <c r="F270" s="7">
        <v>46022</v>
      </c>
      <c r="G270" s="7">
        <f t="shared" si="15"/>
        <v>45961</v>
      </c>
      <c r="H270" s="8">
        <v>5</v>
      </c>
      <c r="I270" s="8">
        <v>-2</v>
      </c>
      <c r="J270" s="9">
        <v>3</v>
      </c>
      <c r="K270" s="3">
        <v>5</v>
      </c>
      <c r="L270" s="17">
        <f t="shared" si="13"/>
        <v>0.6</v>
      </c>
      <c r="M270" s="17">
        <v>0.65</v>
      </c>
      <c r="N270" s="17">
        <v>0.65</v>
      </c>
      <c r="O270" s="13">
        <v>1003777793</v>
      </c>
      <c r="P270" s="13">
        <v>1003777793</v>
      </c>
      <c r="Q270" s="13">
        <v>3262277827.25</v>
      </c>
      <c r="R270" s="13">
        <v>3262277827.25</v>
      </c>
      <c r="S270" s="13">
        <v>2258500034.25</v>
      </c>
      <c r="T270" s="13">
        <v>0</v>
      </c>
      <c r="U270" s="14">
        <v>3.25</v>
      </c>
      <c r="V270" s="15">
        <v>1</v>
      </c>
      <c r="W270" s="16">
        <v>1544273527.6923077</v>
      </c>
      <c r="X270" s="16">
        <v>-3474615437.3076925</v>
      </c>
    </row>
    <row r="271" spans="1:24" x14ac:dyDescent="0.45">
      <c r="A271" s="3" t="s">
        <v>44</v>
      </c>
      <c r="B271" s="3" t="s">
        <v>80</v>
      </c>
      <c r="C271" s="3" t="s">
        <v>103</v>
      </c>
      <c r="D271" s="5">
        <v>5018888965</v>
      </c>
      <c r="E271" s="6">
        <v>45870</v>
      </c>
      <c r="F271" s="7">
        <v>46022</v>
      </c>
      <c r="G271" s="7">
        <f t="shared" si="15"/>
        <v>45991</v>
      </c>
      <c r="H271" s="8">
        <v>5</v>
      </c>
      <c r="I271" s="8">
        <v>-1</v>
      </c>
      <c r="J271" s="9">
        <v>4</v>
      </c>
      <c r="K271" s="3">
        <v>5</v>
      </c>
      <c r="L271" s="17">
        <f t="shared" si="13"/>
        <v>0.8</v>
      </c>
      <c r="M271" s="17">
        <v>0.85</v>
      </c>
      <c r="N271" s="17">
        <v>0.85</v>
      </c>
      <c r="O271" s="13">
        <v>1003777793</v>
      </c>
      <c r="P271" s="13">
        <v>1003777793</v>
      </c>
      <c r="Q271" s="13">
        <v>4266055620.25</v>
      </c>
      <c r="R271" s="13">
        <v>4266055620.25</v>
      </c>
      <c r="S271" s="13">
        <v>3262277827.25</v>
      </c>
      <c r="T271" s="13">
        <v>0</v>
      </c>
      <c r="U271" s="14">
        <v>4.25</v>
      </c>
      <c r="V271" s="15">
        <v>1</v>
      </c>
      <c r="W271" s="16">
        <v>1180915050.5882354</v>
      </c>
      <c r="X271" s="16">
        <v>-3837973914.4117646</v>
      </c>
    </row>
    <row r="272" spans="1:24" x14ac:dyDescent="0.45">
      <c r="A272" s="3" t="s">
        <v>44</v>
      </c>
      <c r="B272" s="3" t="s">
        <v>80</v>
      </c>
      <c r="C272" s="3" t="s">
        <v>103</v>
      </c>
      <c r="D272" s="5">
        <v>5018888965</v>
      </c>
      <c r="E272" s="6">
        <v>45870</v>
      </c>
      <c r="F272" s="7">
        <v>46022</v>
      </c>
      <c r="G272" s="7">
        <f t="shared" si="15"/>
        <v>46022</v>
      </c>
      <c r="H272" s="8">
        <v>5</v>
      </c>
      <c r="I272" s="8">
        <v>0</v>
      </c>
      <c r="J272" s="9">
        <v>5</v>
      </c>
      <c r="K272" s="3">
        <v>5</v>
      </c>
      <c r="L272" s="17">
        <f t="shared" si="13"/>
        <v>1</v>
      </c>
      <c r="M272" s="17">
        <v>1</v>
      </c>
      <c r="N272" s="17">
        <v>1</v>
      </c>
      <c r="O272" s="13">
        <v>1003777793</v>
      </c>
      <c r="P272" s="13">
        <v>1003777793</v>
      </c>
      <c r="Q272" s="13">
        <v>5018888965</v>
      </c>
      <c r="R272" s="13">
        <v>5018888965</v>
      </c>
      <c r="S272" s="13">
        <v>4015111172</v>
      </c>
      <c r="T272" s="13">
        <v>0</v>
      </c>
      <c r="U272" s="14">
        <v>5</v>
      </c>
      <c r="V272" s="15">
        <v>1</v>
      </c>
      <c r="W272" s="16">
        <v>1003777793</v>
      </c>
      <c r="X272" s="16">
        <v>-4015111172</v>
      </c>
    </row>
    <row r="273" spans="1:24" x14ac:dyDescent="0.45">
      <c r="A273" s="3" t="s">
        <v>41</v>
      </c>
      <c r="B273" s="3" t="s">
        <v>85</v>
      </c>
      <c r="C273" s="3" t="s">
        <v>102</v>
      </c>
      <c r="D273" s="5">
        <v>332116783</v>
      </c>
      <c r="E273" s="6">
        <v>45778</v>
      </c>
      <c r="F273" s="7">
        <v>46127</v>
      </c>
      <c r="G273" s="7">
        <f t="shared" si="15"/>
        <v>45808</v>
      </c>
      <c r="H273" s="8">
        <v>11.47</v>
      </c>
      <c r="I273" s="8">
        <v>-10.47</v>
      </c>
      <c r="J273" s="9">
        <v>1</v>
      </c>
      <c r="K273" s="3">
        <v>12</v>
      </c>
      <c r="L273" s="17">
        <f t="shared" si="13"/>
        <v>0.125</v>
      </c>
      <c r="M273" s="17">
        <v>0.25</v>
      </c>
      <c r="N273" s="17">
        <v>0.15</v>
      </c>
      <c r="O273" s="13">
        <v>40764598</v>
      </c>
      <c r="P273" s="13">
        <v>40764598</v>
      </c>
      <c r="Q273" s="13">
        <v>49817517.449999996</v>
      </c>
      <c r="R273" s="13">
        <v>83029195.75</v>
      </c>
      <c r="S273" s="13">
        <v>9052919.4499999955</v>
      </c>
      <c r="T273" s="13">
        <v>-33211678.300000004</v>
      </c>
      <c r="U273" s="14">
        <v>1.2220779768268535</v>
      </c>
      <c r="V273" s="15">
        <v>0.6</v>
      </c>
      <c r="W273" s="16">
        <v>271763986.66666669</v>
      </c>
      <c r="X273" s="16">
        <v>-60352796.333333313</v>
      </c>
    </row>
    <row r="274" spans="1:24" x14ac:dyDescent="0.45">
      <c r="A274" s="3" t="s">
        <v>41</v>
      </c>
      <c r="B274" s="3" t="s">
        <v>85</v>
      </c>
      <c r="C274" s="3" t="s">
        <v>102</v>
      </c>
      <c r="D274" s="5">
        <v>332116783</v>
      </c>
      <c r="E274" s="6">
        <v>45778</v>
      </c>
      <c r="F274" s="7">
        <v>46127</v>
      </c>
      <c r="G274" s="7">
        <f t="shared" si="15"/>
        <v>45838</v>
      </c>
      <c r="H274" s="8">
        <v>11.47</v>
      </c>
      <c r="I274" s="8">
        <v>-9.4700000000000006</v>
      </c>
      <c r="J274" s="9">
        <v>2</v>
      </c>
      <c r="K274" s="3">
        <v>12</v>
      </c>
      <c r="L274" s="17">
        <f t="shared" si="13"/>
        <v>0.25</v>
      </c>
      <c r="M274" s="17">
        <v>0.35</v>
      </c>
      <c r="N274" s="17">
        <v>0.25</v>
      </c>
      <c r="O274" s="13">
        <v>46764598</v>
      </c>
      <c r="P274" s="13">
        <v>46764598</v>
      </c>
      <c r="Q274" s="13">
        <v>83029195.75</v>
      </c>
      <c r="R274" s="13">
        <v>116240874.05</v>
      </c>
      <c r="S274" s="13">
        <v>36264597.75</v>
      </c>
      <c r="T274" s="13">
        <v>-33211678.299999997</v>
      </c>
      <c r="U274" s="14">
        <v>1.7754711747976535</v>
      </c>
      <c r="V274" s="15">
        <v>0.7142857142857143</v>
      </c>
      <c r="W274" s="16">
        <v>187058392</v>
      </c>
      <c r="X274" s="16">
        <v>-145058391</v>
      </c>
    </row>
    <row r="275" spans="1:24" x14ac:dyDescent="0.45">
      <c r="A275" s="3" t="s">
        <v>41</v>
      </c>
      <c r="B275" s="3" t="s">
        <v>85</v>
      </c>
      <c r="C275" s="3" t="s">
        <v>102</v>
      </c>
      <c r="D275" s="5">
        <v>332116783</v>
      </c>
      <c r="E275" s="6">
        <v>45778</v>
      </c>
      <c r="F275" s="7">
        <v>46127</v>
      </c>
      <c r="G275" s="7">
        <f t="shared" si="15"/>
        <v>45869</v>
      </c>
      <c r="H275" s="8">
        <v>11.47</v>
      </c>
      <c r="I275" s="8">
        <v>-8.4700000000000006</v>
      </c>
      <c r="J275" s="9">
        <v>3</v>
      </c>
      <c r="K275" s="3">
        <v>12</v>
      </c>
      <c r="L275" s="17">
        <f t="shared" si="13"/>
        <v>0.375</v>
      </c>
      <c r="M275" s="17">
        <v>0.47</v>
      </c>
      <c r="N275" s="17">
        <v>0.3</v>
      </c>
      <c r="O275" s="13">
        <v>40764598</v>
      </c>
      <c r="P275" s="13">
        <v>40764598</v>
      </c>
      <c r="Q275" s="13">
        <v>99635034.899999991</v>
      </c>
      <c r="R275" s="13">
        <v>156094888.00999999</v>
      </c>
      <c r="S275" s="13">
        <v>58870436.899999991</v>
      </c>
      <c r="T275" s="13">
        <v>-56459853.109999999</v>
      </c>
      <c r="U275" s="14">
        <v>2.444155953653707</v>
      </c>
      <c r="V275" s="15">
        <v>0.63829787234042556</v>
      </c>
      <c r="W275" s="16">
        <v>135881993.33333334</v>
      </c>
      <c r="X275" s="16">
        <v>-196234789.66666666</v>
      </c>
    </row>
    <row r="276" spans="1:24" x14ac:dyDescent="0.45">
      <c r="A276" s="3" t="s">
        <v>41</v>
      </c>
      <c r="B276" s="3" t="s">
        <v>85</v>
      </c>
      <c r="C276" s="3" t="s">
        <v>102</v>
      </c>
      <c r="D276" s="5">
        <v>332116783</v>
      </c>
      <c r="E276" s="6">
        <v>45778</v>
      </c>
      <c r="F276" s="7">
        <v>46127</v>
      </c>
      <c r="G276" s="7">
        <f t="shared" si="15"/>
        <v>45900</v>
      </c>
      <c r="H276" s="8">
        <v>11.47</v>
      </c>
      <c r="I276" s="8">
        <v>-7.4700000000000006</v>
      </c>
      <c r="J276" s="9">
        <v>4</v>
      </c>
      <c r="K276" s="3">
        <v>12</v>
      </c>
      <c r="L276" s="17">
        <f t="shared" si="13"/>
        <v>0.5</v>
      </c>
      <c r="M276" s="17">
        <v>0.52</v>
      </c>
      <c r="N276" s="17">
        <v>0.35</v>
      </c>
      <c r="O276" s="13">
        <v>40764598</v>
      </c>
      <c r="P276" s="13">
        <v>40764598</v>
      </c>
      <c r="Q276" s="13">
        <v>116240874.05</v>
      </c>
      <c r="R276" s="13">
        <v>172700727.16</v>
      </c>
      <c r="S276" s="13">
        <v>75476276.049999997</v>
      </c>
      <c r="T276" s="13">
        <v>-56459853.109999999</v>
      </c>
      <c r="U276" s="14">
        <v>2.8515152792626584</v>
      </c>
      <c r="V276" s="15">
        <v>0.67307692307692313</v>
      </c>
      <c r="W276" s="16">
        <v>116470280</v>
      </c>
      <c r="X276" s="16">
        <v>-215646503</v>
      </c>
    </row>
    <row r="277" spans="1:24" x14ac:dyDescent="0.45">
      <c r="A277" s="3" t="s">
        <v>41</v>
      </c>
      <c r="B277" s="3" t="s">
        <v>85</v>
      </c>
      <c r="C277" s="3" t="s">
        <v>102</v>
      </c>
      <c r="D277" s="5">
        <v>332116783</v>
      </c>
      <c r="E277" s="6">
        <v>45778</v>
      </c>
      <c r="F277" s="7">
        <v>46127</v>
      </c>
      <c r="G277" s="7">
        <f t="shared" si="15"/>
        <v>45930</v>
      </c>
      <c r="H277" s="8">
        <v>11.47</v>
      </c>
      <c r="I277" s="8">
        <v>-6.4700000000000006</v>
      </c>
      <c r="J277" s="9">
        <v>5</v>
      </c>
      <c r="K277" s="3">
        <v>12</v>
      </c>
      <c r="L277" s="17">
        <f t="shared" si="13"/>
        <v>0.625</v>
      </c>
      <c r="M277" s="17">
        <v>0.65</v>
      </c>
      <c r="N277" s="17">
        <v>0.45</v>
      </c>
      <c r="O277" s="13">
        <v>40764598</v>
      </c>
      <c r="P277" s="13">
        <v>40764598</v>
      </c>
      <c r="Q277" s="13">
        <v>149452552.34999999</v>
      </c>
      <c r="R277" s="13">
        <v>215875908.95000002</v>
      </c>
      <c r="S277" s="13">
        <v>108687954.34999999</v>
      </c>
      <c r="T277" s="13">
        <v>-66423356.600000024</v>
      </c>
      <c r="U277" s="14">
        <v>3.6662339304805607</v>
      </c>
      <c r="V277" s="15">
        <v>0.69230769230769218</v>
      </c>
      <c r="W277" s="16">
        <v>90587995.555555552</v>
      </c>
      <c r="X277" s="16">
        <v>-241528787.44444445</v>
      </c>
    </row>
    <row r="278" spans="1:24" x14ac:dyDescent="0.45">
      <c r="A278" s="3" t="s">
        <v>41</v>
      </c>
      <c r="B278" s="3" t="s">
        <v>85</v>
      </c>
      <c r="C278" s="3" t="s">
        <v>102</v>
      </c>
      <c r="D278" s="5">
        <v>332116783</v>
      </c>
      <c r="E278" s="6">
        <v>45778</v>
      </c>
      <c r="F278" s="7">
        <v>46127</v>
      </c>
      <c r="G278" s="7">
        <f t="shared" si="15"/>
        <v>45961</v>
      </c>
      <c r="H278" s="8">
        <v>11.47</v>
      </c>
      <c r="I278" s="8">
        <v>-5.4700000000000006</v>
      </c>
      <c r="J278" s="9">
        <v>6</v>
      </c>
      <c r="K278" s="3">
        <v>12</v>
      </c>
      <c r="L278" s="17">
        <f t="shared" si="13"/>
        <v>0.75</v>
      </c>
      <c r="M278" s="17">
        <v>0.72</v>
      </c>
      <c r="N278" s="17">
        <v>0.5</v>
      </c>
      <c r="O278" s="13">
        <v>40764598</v>
      </c>
      <c r="P278" s="13">
        <v>40764598</v>
      </c>
      <c r="Q278" s="13">
        <v>166058391.5</v>
      </c>
      <c r="R278" s="13">
        <v>239124083.75999999</v>
      </c>
      <c r="S278" s="13">
        <v>125293793.5</v>
      </c>
      <c r="T278" s="13">
        <v>-73065692.25999999</v>
      </c>
      <c r="U278" s="14">
        <v>4.0735932560895121</v>
      </c>
      <c r="V278" s="15">
        <v>0.69444444444444442</v>
      </c>
      <c r="W278" s="16">
        <v>81529196</v>
      </c>
      <c r="X278" s="16">
        <v>-250587587</v>
      </c>
    </row>
    <row r="279" spans="1:24" x14ac:dyDescent="0.45">
      <c r="A279" s="3" t="s">
        <v>41</v>
      </c>
      <c r="B279" s="3" t="s">
        <v>85</v>
      </c>
      <c r="C279" s="3" t="s">
        <v>102</v>
      </c>
      <c r="D279" s="5">
        <v>332116783</v>
      </c>
      <c r="E279" s="6">
        <v>45778</v>
      </c>
      <c r="F279" s="7">
        <v>46127</v>
      </c>
      <c r="G279" s="7">
        <f t="shared" si="15"/>
        <v>45991</v>
      </c>
      <c r="H279" s="8">
        <v>11.47</v>
      </c>
      <c r="I279" s="8">
        <v>-4.4700000000000006</v>
      </c>
      <c r="J279" s="9">
        <v>7</v>
      </c>
      <c r="K279" s="3">
        <v>12</v>
      </c>
      <c r="L279" s="17">
        <f t="shared" si="13"/>
        <v>0.875</v>
      </c>
      <c r="M279" s="17">
        <v>0.85</v>
      </c>
      <c r="N279" s="17">
        <v>0.56999999999999995</v>
      </c>
      <c r="O279" s="13">
        <v>40764598</v>
      </c>
      <c r="P279" s="13">
        <v>40764598</v>
      </c>
      <c r="Q279" s="13">
        <v>189306566.30999997</v>
      </c>
      <c r="R279" s="13">
        <v>282299265.55000001</v>
      </c>
      <c r="S279" s="13">
        <v>148541968.30999997</v>
      </c>
      <c r="T279" s="13">
        <v>-92992699.240000039</v>
      </c>
      <c r="U279" s="14">
        <v>4.6438963119420427</v>
      </c>
      <c r="V279" s="15">
        <v>0.67058823529411749</v>
      </c>
      <c r="W279" s="16">
        <v>71516838.596491233</v>
      </c>
      <c r="X279" s="16">
        <v>-260599944.40350878</v>
      </c>
    </row>
    <row r="280" spans="1:24" x14ac:dyDescent="0.45">
      <c r="A280" s="3" t="s">
        <v>41</v>
      </c>
      <c r="B280" s="3" t="s">
        <v>85</v>
      </c>
      <c r="C280" s="3" t="s">
        <v>102</v>
      </c>
      <c r="D280" s="5">
        <v>332116783</v>
      </c>
      <c r="E280" s="6">
        <v>45778</v>
      </c>
      <c r="F280" s="7">
        <v>46127</v>
      </c>
      <c r="G280" s="7">
        <f t="shared" si="15"/>
        <v>46022</v>
      </c>
      <c r="H280" s="8">
        <v>11.47</v>
      </c>
      <c r="I280" s="8">
        <v>-3.4700000000000006</v>
      </c>
      <c r="J280" s="9">
        <v>8</v>
      </c>
      <c r="K280" s="3">
        <v>12</v>
      </c>
      <c r="L280" s="17">
        <f t="shared" si="13"/>
        <v>1</v>
      </c>
      <c r="M280" s="17">
        <v>0.95</v>
      </c>
      <c r="N280" s="17">
        <v>0.65</v>
      </c>
      <c r="O280" s="13">
        <v>40764598</v>
      </c>
      <c r="P280" s="13">
        <v>40764598</v>
      </c>
      <c r="Q280" s="13">
        <v>215875908.95000002</v>
      </c>
      <c r="R280" s="13">
        <v>315510943.84999996</v>
      </c>
      <c r="S280" s="13">
        <v>175111310.95000002</v>
      </c>
      <c r="T280" s="13">
        <v>-99635034.899999946</v>
      </c>
      <c r="U280" s="14">
        <v>5.2956712329163658</v>
      </c>
      <c r="V280" s="15">
        <v>0.6842105263157896</v>
      </c>
      <c r="W280" s="16">
        <v>62714766.153846152</v>
      </c>
      <c r="X280" s="16">
        <v>-269402016.84615386</v>
      </c>
    </row>
    <row r="281" spans="1:24" x14ac:dyDescent="0.45">
      <c r="A281" s="3" t="s">
        <v>34</v>
      </c>
      <c r="B281" s="3" t="s">
        <v>81</v>
      </c>
      <c r="C281" s="3" t="s">
        <v>102</v>
      </c>
      <c r="D281" s="5">
        <v>55501215</v>
      </c>
      <c r="E281" s="6">
        <v>45642</v>
      </c>
      <c r="F281" s="7">
        <v>45657</v>
      </c>
      <c r="G281" s="7">
        <f t="shared" si="15"/>
        <v>45657</v>
      </c>
      <c r="H281" s="8">
        <v>0.5</v>
      </c>
      <c r="I281" s="8">
        <v>0.5</v>
      </c>
      <c r="J281" s="9">
        <v>1</v>
      </c>
      <c r="K281" s="3">
        <v>1</v>
      </c>
      <c r="L281" s="17">
        <f t="shared" si="13"/>
        <v>0.5</v>
      </c>
      <c r="M281" s="17">
        <v>1</v>
      </c>
      <c r="N281" s="17">
        <v>0.5</v>
      </c>
      <c r="O281" s="13">
        <v>9502698</v>
      </c>
      <c r="P281" s="13">
        <v>9502698</v>
      </c>
      <c r="Q281" s="13">
        <v>27750607.5</v>
      </c>
      <c r="R281" s="13">
        <v>55501215</v>
      </c>
      <c r="S281" s="13">
        <v>18247909.5</v>
      </c>
      <c r="T281" s="13">
        <v>-27750607.5</v>
      </c>
      <c r="U281" s="14">
        <v>2.9202872173776333</v>
      </c>
      <c r="V281" s="15">
        <v>0.5</v>
      </c>
      <c r="W281" s="16">
        <v>19005396</v>
      </c>
      <c r="X281" s="16">
        <v>-36495819</v>
      </c>
    </row>
    <row r="282" spans="1:24" x14ac:dyDescent="0.45">
      <c r="A282" s="3" t="s">
        <v>34</v>
      </c>
      <c r="B282" s="3" t="s">
        <v>81</v>
      </c>
      <c r="C282" s="3" t="s">
        <v>102</v>
      </c>
      <c r="D282" s="5">
        <v>55501215</v>
      </c>
      <c r="E282" s="6">
        <v>45642</v>
      </c>
      <c r="F282" s="7">
        <v>45657</v>
      </c>
      <c r="G282" s="7">
        <f t="shared" si="15"/>
        <v>45688</v>
      </c>
      <c r="H282" s="8">
        <v>0.5</v>
      </c>
      <c r="I282" s="8">
        <v>1.5</v>
      </c>
      <c r="J282" s="9">
        <v>2</v>
      </c>
      <c r="K282" s="3">
        <v>1</v>
      </c>
      <c r="L282" s="17">
        <f t="shared" si="13"/>
        <v>1</v>
      </c>
      <c r="M282" s="17">
        <v>1</v>
      </c>
      <c r="N282" s="17">
        <v>1</v>
      </c>
      <c r="O282" s="13">
        <v>45998517</v>
      </c>
      <c r="P282" s="13">
        <v>45998517</v>
      </c>
      <c r="Q282" s="13">
        <v>55501215</v>
      </c>
      <c r="R282" s="13">
        <v>55501215</v>
      </c>
      <c r="S282" s="13">
        <v>9502698</v>
      </c>
      <c r="T282" s="13">
        <v>0</v>
      </c>
      <c r="U282" s="14">
        <v>1.2065870514912469</v>
      </c>
      <c r="V282" s="15">
        <v>1</v>
      </c>
      <c r="W282" s="16">
        <v>45998517</v>
      </c>
      <c r="X282" s="16">
        <v>-9502698</v>
      </c>
    </row>
    <row r="283" spans="1:24" x14ac:dyDescent="0.45">
      <c r="A283" s="3" t="s">
        <v>55</v>
      </c>
      <c r="B283" s="3" t="s">
        <v>75</v>
      </c>
      <c r="C283" s="3" t="s">
        <v>101</v>
      </c>
      <c r="D283" s="5">
        <v>3810581437</v>
      </c>
      <c r="E283" s="6">
        <v>45931</v>
      </c>
      <c r="F283" s="7">
        <v>47483</v>
      </c>
      <c r="G283" s="7">
        <f t="shared" si="15"/>
        <v>45961</v>
      </c>
      <c r="H283" s="8">
        <v>51</v>
      </c>
      <c r="I283" s="8">
        <v>-50</v>
      </c>
      <c r="J283" s="9">
        <v>1</v>
      </c>
      <c r="K283" s="3">
        <v>47</v>
      </c>
      <c r="L283" s="17">
        <f t="shared" si="13"/>
        <v>0.33333333333333331</v>
      </c>
      <c r="M283" s="17">
        <v>0.5</v>
      </c>
      <c r="N283" s="17">
        <v>0.5</v>
      </c>
      <c r="O283" s="13">
        <v>85245827</v>
      </c>
      <c r="P283" s="13">
        <v>85245827</v>
      </c>
      <c r="Q283" s="13">
        <v>1905290718.5</v>
      </c>
      <c r="R283" s="13">
        <v>1905290718.5</v>
      </c>
      <c r="S283" s="13">
        <v>1820044891.5</v>
      </c>
      <c r="T283" s="13">
        <v>0</v>
      </c>
      <c r="U283" s="14">
        <v>22.350545305871687</v>
      </c>
      <c r="V283" s="15">
        <v>1</v>
      </c>
      <c r="W283" s="16">
        <v>170491654</v>
      </c>
      <c r="X283" s="16">
        <v>-3640089783</v>
      </c>
    </row>
    <row r="284" spans="1:24" x14ac:dyDescent="0.45">
      <c r="A284" s="3" t="s">
        <v>55</v>
      </c>
      <c r="B284" s="3" t="s">
        <v>75</v>
      </c>
      <c r="C284" s="3" t="s">
        <v>101</v>
      </c>
      <c r="D284" s="5">
        <v>3810581437</v>
      </c>
      <c r="E284" s="6">
        <v>45931</v>
      </c>
      <c r="F284" s="7">
        <v>47483</v>
      </c>
      <c r="G284" s="7">
        <f t="shared" si="15"/>
        <v>45991</v>
      </c>
      <c r="H284" s="8">
        <v>51</v>
      </c>
      <c r="I284" s="8">
        <v>-49</v>
      </c>
      <c r="J284" s="9">
        <v>2</v>
      </c>
      <c r="K284" s="3">
        <v>47</v>
      </c>
      <c r="L284" s="17">
        <f t="shared" si="13"/>
        <v>0.66666666666666663</v>
      </c>
      <c r="M284" s="17">
        <v>0.75</v>
      </c>
      <c r="N284" s="17">
        <v>0.75</v>
      </c>
      <c r="O284" s="13">
        <v>103587494</v>
      </c>
      <c r="P284" s="13">
        <v>103587494</v>
      </c>
      <c r="Q284" s="13">
        <v>2857936077.75</v>
      </c>
      <c r="R284" s="13">
        <v>2857936077.75</v>
      </c>
      <c r="S284" s="13">
        <v>2754348583.75</v>
      </c>
      <c r="T284" s="13">
        <v>0</v>
      </c>
      <c r="U284" s="14">
        <v>27.589586033908688</v>
      </c>
      <c r="V284" s="15">
        <v>1</v>
      </c>
      <c r="W284" s="16">
        <v>138116658.66666666</v>
      </c>
      <c r="X284" s="16">
        <v>-3672464778.3333335</v>
      </c>
    </row>
    <row r="285" spans="1:24" x14ac:dyDescent="0.45">
      <c r="A285" s="3" t="s">
        <v>55</v>
      </c>
      <c r="B285" s="3" t="s">
        <v>75</v>
      </c>
      <c r="C285" s="3" t="s">
        <v>101</v>
      </c>
      <c r="D285" s="5">
        <v>3810581437</v>
      </c>
      <c r="E285" s="6">
        <v>45931</v>
      </c>
      <c r="F285" s="7">
        <v>47483</v>
      </c>
      <c r="G285" s="7">
        <f t="shared" si="15"/>
        <v>46022</v>
      </c>
      <c r="H285" s="8">
        <v>51</v>
      </c>
      <c r="I285" s="8">
        <v>-48</v>
      </c>
      <c r="J285" s="9">
        <v>3</v>
      </c>
      <c r="K285" s="3">
        <v>47</v>
      </c>
      <c r="L285" s="25">
        <f t="shared" si="13"/>
        <v>1</v>
      </c>
      <c r="M285" s="25">
        <v>0.999</v>
      </c>
      <c r="N285" s="25">
        <v>0.999</v>
      </c>
      <c r="O285" s="13">
        <v>15867004</v>
      </c>
      <c r="P285" s="13">
        <v>15867004</v>
      </c>
      <c r="Q285" s="13">
        <v>3806770855.5630002</v>
      </c>
      <c r="R285" s="13">
        <v>3806770855.5630002</v>
      </c>
      <c r="S285" s="13">
        <v>3790903851.5630002</v>
      </c>
      <c r="T285" s="13">
        <v>0</v>
      </c>
      <c r="U285" s="14">
        <v>239.91743214806021</v>
      </c>
      <c r="V285" s="15">
        <v>1</v>
      </c>
      <c r="W285" s="16">
        <v>15882886.886886887</v>
      </c>
      <c r="X285" s="16">
        <v>-3794698550.1131129</v>
      </c>
    </row>
    <row r="286" spans="1:24" x14ac:dyDescent="0.45">
      <c r="A286" s="3" t="s">
        <v>8</v>
      </c>
      <c r="B286" s="3" t="s">
        <v>81</v>
      </c>
      <c r="C286" s="3" t="s">
        <v>103</v>
      </c>
      <c r="D286" s="5">
        <v>372376516</v>
      </c>
      <c r="E286" s="6">
        <v>45352</v>
      </c>
      <c r="F286" s="7">
        <v>45534</v>
      </c>
      <c r="G286" s="7">
        <f t="shared" ref="G286:G330" si="16">EOMONTH(E286,J286-1)</f>
        <v>45382</v>
      </c>
      <c r="H286" s="8">
        <v>5.97</v>
      </c>
      <c r="I286" s="8">
        <v>-4.97</v>
      </c>
      <c r="J286" s="9">
        <v>1</v>
      </c>
      <c r="K286" s="3">
        <v>6</v>
      </c>
      <c r="L286" s="17">
        <f t="shared" si="13"/>
        <v>0.16666666666666666</v>
      </c>
      <c r="M286" s="17">
        <v>0.2</v>
      </c>
      <c r="N286" s="17">
        <v>0.15</v>
      </c>
      <c r="O286" s="13">
        <v>110202191</v>
      </c>
      <c r="P286" s="13">
        <v>110202191</v>
      </c>
      <c r="Q286" s="13">
        <v>55856477.399999999</v>
      </c>
      <c r="R286" s="13">
        <v>74475303.200000003</v>
      </c>
      <c r="S286" s="13">
        <v>-54345713.600000001</v>
      </c>
      <c r="T286" s="13">
        <v>-18618825.800000004</v>
      </c>
      <c r="U286" s="14">
        <v>0.50685450890899253</v>
      </c>
      <c r="V286" s="15">
        <v>0.75</v>
      </c>
      <c r="W286" s="16">
        <v>734681273.33333337</v>
      </c>
      <c r="X286" s="16">
        <v>362304757.33333337</v>
      </c>
    </row>
    <row r="287" spans="1:24" x14ac:dyDescent="0.45">
      <c r="A287" s="3" t="s">
        <v>8</v>
      </c>
      <c r="B287" s="3" t="s">
        <v>81</v>
      </c>
      <c r="C287" s="3" t="s">
        <v>103</v>
      </c>
      <c r="D287" s="5">
        <v>372376516</v>
      </c>
      <c r="E287" s="6">
        <v>45352</v>
      </c>
      <c r="F287" s="7">
        <v>45534</v>
      </c>
      <c r="G287" s="7">
        <f t="shared" si="16"/>
        <v>45412</v>
      </c>
      <c r="H287" s="8">
        <v>5.97</v>
      </c>
      <c r="I287" s="8">
        <v>-3.9699999999999998</v>
      </c>
      <c r="J287" s="9">
        <v>2</v>
      </c>
      <c r="K287" s="3">
        <v>6</v>
      </c>
      <c r="L287" s="17">
        <f t="shared" si="13"/>
        <v>0.33333333333333331</v>
      </c>
      <c r="M287" s="17">
        <v>0.3</v>
      </c>
      <c r="N287" s="17">
        <v>0.2</v>
      </c>
      <c r="O287" s="13">
        <v>13923314</v>
      </c>
      <c r="P287" s="13">
        <v>13923314</v>
      </c>
      <c r="Q287" s="13">
        <v>74475303.200000003</v>
      </c>
      <c r="R287" s="13">
        <v>111712954.8</v>
      </c>
      <c r="S287" s="13">
        <v>60551989.200000003</v>
      </c>
      <c r="T287" s="13">
        <v>-37237651.599999994</v>
      </c>
      <c r="U287" s="14">
        <v>5.3489638458200401</v>
      </c>
      <c r="V287" s="15">
        <v>0.66666666666666674</v>
      </c>
      <c r="W287" s="16">
        <v>69616570</v>
      </c>
      <c r="X287" s="16">
        <v>-302759946</v>
      </c>
    </row>
    <row r="288" spans="1:24" x14ac:dyDescent="0.45">
      <c r="A288" s="3" t="s">
        <v>8</v>
      </c>
      <c r="B288" s="3" t="s">
        <v>81</v>
      </c>
      <c r="C288" s="3" t="s">
        <v>103</v>
      </c>
      <c r="D288" s="5">
        <v>372376516</v>
      </c>
      <c r="E288" s="6">
        <v>45352</v>
      </c>
      <c r="F288" s="7">
        <v>45534</v>
      </c>
      <c r="G288" s="7">
        <f t="shared" si="16"/>
        <v>45443</v>
      </c>
      <c r="H288" s="8">
        <v>5.97</v>
      </c>
      <c r="I288" s="8">
        <v>-2.9699999999999998</v>
      </c>
      <c r="J288" s="9">
        <v>3</v>
      </c>
      <c r="K288" s="3">
        <v>6</v>
      </c>
      <c r="L288" s="17">
        <f t="shared" si="13"/>
        <v>0.5</v>
      </c>
      <c r="M288" s="17">
        <v>0.5</v>
      </c>
      <c r="N288" s="17">
        <v>0.4</v>
      </c>
      <c r="O288" s="13">
        <v>110202191</v>
      </c>
      <c r="P288" s="13">
        <v>110202191</v>
      </c>
      <c r="Q288" s="13">
        <v>148950606.40000001</v>
      </c>
      <c r="R288" s="13">
        <v>186188258</v>
      </c>
      <c r="S288" s="13">
        <v>38748415.400000006</v>
      </c>
      <c r="T288" s="13">
        <v>-37237651.599999994</v>
      </c>
      <c r="U288" s="14">
        <v>1.3516120237573135</v>
      </c>
      <c r="V288" s="15">
        <v>0.8</v>
      </c>
      <c r="W288" s="16">
        <v>275505477.5</v>
      </c>
      <c r="X288" s="16">
        <v>-96871038.5</v>
      </c>
    </row>
    <row r="289" spans="1:24" x14ac:dyDescent="0.45">
      <c r="A289" s="3" t="s">
        <v>8</v>
      </c>
      <c r="B289" s="3" t="s">
        <v>81</v>
      </c>
      <c r="C289" s="3" t="s">
        <v>103</v>
      </c>
      <c r="D289" s="5">
        <v>372376516</v>
      </c>
      <c r="E289" s="6">
        <v>45352</v>
      </c>
      <c r="F289" s="7">
        <v>45534</v>
      </c>
      <c r="G289" s="7">
        <f t="shared" si="16"/>
        <v>45473</v>
      </c>
      <c r="H289" s="8">
        <v>5.97</v>
      </c>
      <c r="I289" s="8">
        <v>-1.9699999999999998</v>
      </c>
      <c r="J289" s="9">
        <v>4</v>
      </c>
      <c r="K289" s="3">
        <v>6</v>
      </c>
      <c r="L289" s="17">
        <f t="shared" si="13"/>
        <v>0.66666666666666663</v>
      </c>
      <c r="M289" s="17">
        <v>0.75</v>
      </c>
      <c r="N289" s="17">
        <v>0.7</v>
      </c>
      <c r="O289" s="13">
        <v>13923314</v>
      </c>
      <c r="P289" s="13">
        <v>13923314</v>
      </c>
      <c r="Q289" s="13">
        <v>260663561.19999999</v>
      </c>
      <c r="R289" s="13">
        <v>279282387</v>
      </c>
      <c r="S289" s="13">
        <v>246740247.19999999</v>
      </c>
      <c r="T289" s="13">
        <v>-18618825.800000012</v>
      </c>
      <c r="U289" s="14">
        <v>18.721373460370138</v>
      </c>
      <c r="V289" s="15">
        <v>0.93333333333333324</v>
      </c>
      <c r="W289" s="16">
        <v>19890448.571428571</v>
      </c>
      <c r="X289" s="16">
        <v>-352486067.4285714</v>
      </c>
    </row>
    <row r="290" spans="1:24" x14ac:dyDescent="0.45">
      <c r="A290" s="3" t="s">
        <v>8</v>
      </c>
      <c r="B290" s="3" t="s">
        <v>81</v>
      </c>
      <c r="C290" s="3" t="s">
        <v>103</v>
      </c>
      <c r="D290" s="5">
        <v>372376516</v>
      </c>
      <c r="E290" s="6">
        <v>45352</v>
      </c>
      <c r="F290" s="7">
        <v>45534</v>
      </c>
      <c r="G290" s="7">
        <f t="shared" si="16"/>
        <v>45504</v>
      </c>
      <c r="H290" s="8">
        <v>5.97</v>
      </c>
      <c r="I290" s="8">
        <v>-0.96999999999999975</v>
      </c>
      <c r="J290" s="9">
        <v>5</v>
      </c>
      <c r="K290" s="3">
        <v>6</v>
      </c>
      <c r="L290" s="17">
        <f t="shared" si="13"/>
        <v>0.83333333333333337</v>
      </c>
      <c r="M290" s="17">
        <v>0.8</v>
      </c>
      <c r="N290" s="17">
        <v>0.79</v>
      </c>
      <c r="O290" s="13">
        <v>110202191</v>
      </c>
      <c r="P290" s="13">
        <v>110202191</v>
      </c>
      <c r="Q290" s="13">
        <v>294177447.63999999</v>
      </c>
      <c r="R290" s="13">
        <v>297901212.80000001</v>
      </c>
      <c r="S290" s="13">
        <v>183975256.63999999</v>
      </c>
      <c r="T290" s="13">
        <v>-3723765.1600000262</v>
      </c>
      <c r="U290" s="14">
        <v>2.6694337469206939</v>
      </c>
      <c r="V290" s="15">
        <v>0.98749999999999993</v>
      </c>
      <c r="W290" s="16">
        <v>139496444.30379748</v>
      </c>
      <c r="X290" s="16">
        <v>-232880071.69620252</v>
      </c>
    </row>
    <row r="291" spans="1:24" x14ac:dyDescent="0.45">
      <c r="A291" s="3" t="s">
        <v>8</v>
      </c>
      <c r="B291" s="3" t="s">
        <v>81</v>
      </c>
      <c r="C291" s="3" t="s">
        <v>103</v>
      </c>
      <c r="D291" s="5">
        <v>372376516</v>
      </c>
      <c r="E291" s="6">
        <v>45352</v>
      </c>
      <c r="F291" s="7">
        <v>45534</v>
      </c>
      <c r="G291" s="7">
        <f t="shared" si="16"/>
        <v>45535</v>
      </c>
      <c r="H291" s="8">
        <v>5.97</v>
      </c>
      <c r="I291" s="8">
        <v>3.0000000000000249E-2</v>
      </c>
      <c r="J291" s="9">
        <v>6</v>
      </c>
      <c r="K291" s="3">
        <v>6</v>
      </c>
      <c r="L291" s="17">
        <f t="shared" si="13"/>
        <v>1</v>
      </c>
      <c r="M291" s="17">
        <v>1</v>
      </c>
      <c r="N291" s="17">
        <v>1</v>
      </c>
      <c r="O291" s="13">
        <v>13923314</v>
      </c>
      <c r="P291" s="13">
        <v>13923314</v>
      </c>
      <c r="Q291" s="13">
        <v>372376516</v>
      </c>
      <c r="R291" s="13">
        <v>372376516</v>
      </c>
      <c r="S291" s="13">
        <v>358453202</v>
      </c>
      <c r="T291" s="13">
        <v>0</v>
      </c>
      <c r="U291" s="14">
        <v>26.744819229100198</v>
      </c>
      <c r="V291" s="15">
        <v>1</v>
      </c>
      <c r="W291" s="16">
        <v>13923314</v>
      </c>
      <c r="X291" s="16">
        <v>-358453202</v>
      </c>
    </row>
    <row r="292" spans="1:24" x14ac:dyDescent="0.45">
      <c r="A292" s="3" t="s">
        <v>36</v>
      </c>
      <c r="B292" s="3" t="s">
        <v>75</v>
      </c>
      <c r="C292" s="3" t="s">
        <v>101</v>
      </c>
      <c r="D292" s="5">
        <v>40504918</v>
      </c>
      <c r="E292" s="6">
        <v>45689</v>
      </c>
      <c r="F292" s="7">
        <v>45716</v>
      </c>
      <c r="G292" s="7">
        <f t="shared" si="16"/>
        <v>45716</v>
      </c>
      <c r="H292" s="8">
        <v>0.9</v>
      </c>
      <c r="I292" s="8">
        <v>9.9999999999999978E-2</v>
      </c>
      <c r="J292" s="9">
        <v>1</v>
      </c>
      <c r="K292" s="3">
        <v>1</v>
      </c>
      <c r="L292" s="17">
        <f t="shared" si="13"/>
        <v>1</v>
      </c>
      <c r="M292" s="17">
        <v>1</v>
      </c>
      <c r="N292" s="17">
        <v>1</v>
      </c>
      <c r="O292" s="13">
        <v>40504918</v>
      </c>
      <c r="P292" s="13">
        <v>40504918</v>
      </c>
      <c r="Q292" s="13">
        <v>40504918</v>
      </c>
      <c r="R292" s="13">
        <v>40504918</v>
      </c>
      <c r="S292" s="13">
        <v>0</v>
      </c>
      <c r="T292" s="13">
        <v>0</v>
      </c>
      <c r="U292" s="14">
        <v>1</v>
      </c>
      <c r="V292" s="15">
        <v>1</v>
      </c>
      <c r="W292" s="16">
        <v>40504918</v>
      </c>
      <c r="X292" s="16">
        <v>0</v>
      </c>
    </row>
    <row r="293" spans="1:24" x14ac:dyDescent="0.45">
      <c r="A293" s="3" t="s">
        <v>47</v>
      </c>
      <c r="B293" s="3" t="s">
        <v>83</v>
      </c>
      <c r="C293" s="3" t="s">
        <v>103</v>
      </c>
      <c r="D293" s="5">
        <v>4203074639</v>
      </c>
      <c r="E293" s="6">
        <v>45884</v>
      </c>
      <c r="F293" s="7">
        <v>46037</v>
      </c>
      <c r="G293" s="7">
        <f t="shared" si="16"/>
        <v>45900</v>
      </c>
      <c r="H293" s="8">
        <v>5</v>
      </c>
      <c r="I293" s="8">
        <v>-4</v>
      </c>
      <c r="J293" s="9">
        <v>1</v>
      </c>
      <c r="K293" s="3">
        <v>5</v>
      </c>
      <c r="L293" s="17">
        <f t="shared" si="13"/>
        <v>0.2</v>
      </c>
      <c r="M293" s="17">
        <v>0.05</v>
      </c>
      <c r="N293" s="17">
        <v>0.05</v>
      </c>
      <c r="O293" s="13">
        <v>786808926</v>
      </c>
      <c r="P293" s="13">
        <v>786808926</v>
      </c>
      <c r="Q293" s="13">
        <v>210153731.95000002</v>
      </c>
      <c r="R293" s="13">
        <v>210153731.95000002</v>
      </c>
      <c r="S293" s="13">
        <v>-576655194.04999995</v>
      </c>
      <c r="T293" s="13">
        <v>0</v>
      </c>
      <c r="U293" s="14">
        <v>0.26709627332062069</v>
      </c>
      <c r="V293" s="15">
        <v>1</v>
      </c>
      <c r="W293" s="16">
        <v>15736178519.999998</v>
      </c>
      <c r="X293" s="16">
        <v>11533103880.999998</v>
      </c>
    </row>
    <row r="294" spans="1:24" x14ac:dyDescent="0.45">
      <c r="A294" s="3" t="s">
        <v>47</v>
      </c>
      <c r="B294" s="3" t="s">
        <v>83</v>
      </c>
      <c r="C294" s="3" t="s">
        <v>103</v>
      </c>
      <c r="D294" s="5">
        <v>4203074639</v>
      </c>
      <c r="E294" s="6">
        <v>45884</v>
      </c>
      <c r="F294" s="7">
        <v>46037</v>
      </c>
      <c r="G294" s="7">
        <f t="shared" si="16"/>
        <v>45930</v>
      </c>
      <c r="H294" s="8">
        <v>5</v>
      </c>
      <c r="I294" s="8">
        <v>-3</v>
      </c>
      <c r="J294" s="9">
        <v>2</v>
      </c>
      <c r="K294" s="3">
        <v>5</v>
      </c>
      <c r="L294" s="17">
        <f t="shared" si="13"/>
        <v>0.4</v>
      </c>
      <c r="M294" s="17">
        <v>0.15</v>
      </c>
      <c r="N294" s="17">
        <v>0.15</v>
      </c>
      <c r="O294" s="13">
        <v>735484357</v>
      </c>
      <c r="P294" s="13">
        <v>735484357</v>
      </c>
      <c r="Q294" s="13">
        <v>630461195.85000002</v>
      </c>
      <c r="R294" s="13">
        <v>630461195.85000002</v>
      </c>
      <c r="S294" s="13">
        <v>-105023161.14999998</v>
      </c>
      <c r="T294" s="13">
        <v>0</v>
      </c>
      <c r="U294" s="14">
        <v>0.85720544543138399</v>
      </c>
      <c r="V294" s="15">
        <v>1</v>
      </c>
      <c r="W294" s="16">
        <v>4903229046.666666</v>
      </c>
      <c r="X294" s="16">
        <v>700154407.66666603</v>
      </c>
    </row>
    <row r="295" spans="1:24" x14ac:dyDescent="0.45">
      <c r="A295" s="3" t="s">
        <v>47</v>
      </c>
      <c r="B295" s="3" t="s">
        <v>83</v>
      </c>
      <c r="C295" s="3" t="s">
        <v>103</v>
      </c>
      <c r="D295" s="5">
        <v>4203074639</v>
      </c>
      <c r="E295" s="6">
        <v>45884</v>
      </c>
      <c r="F295" s="7">
        <v>46037</v>
      </c>
      <c r="G295" s="7">
        <f t="shared" si="16"/>
        <v>45961</v>
      </c>
      <c r="H295" s="8">
        <v>5</v>
      </c>
      <c r="I295" s="8">
        <v>-2</v>
      </c>
      <c r="J295" s="9">
        <v>3</v>
      </c>
      <c r="K295" s="3">
        <v>5</v>
      </c>
      <c r="L295" s="17">
        <f t="shared" si="13"/>
        <v>0.6</v>
      </c>
      <c r="M295" s="17">
        <v>0.35</v>
      </c>
      <c r="N295" s="17">
        <v>0.35</v>
      </c>
      <c r="O295" s="13">
        <v>735484357</v>
      </c>
      <c r="P295" s="13">
        <v>735484357</v>
      </c>
      <c r="Q295" s="13">
        <v>1471076123.6499999</v>
      </c>
      <c r="R295" s="13">
        <v>1471076123.6499999</v>
      </c>
      <c r="S295" s="13">
        <v>735591766.64999986</v>
      </c>
      <c r="T295" s="13">
        <v>0</v>
      </c>
      <c r="U295" s="14">
        <v>2.0001460393398958</v>
      </c>
      <c r="V295" s="15">
        <v>1</v>
      </c>
      <c r="W295" s="16">
        <v>2101383877.1428573</v>
      </c>
      <c r="X295" s="16">
        <v>-2101690761.8571427</v>
      </c>
    </row>
    <row r="296" spans="1:24" x14ac:dyDescent="0.45">
      <c r="A296" s="3" t="s">
        <v>47</v>
      </c>
      <c r="B296" s="3" t="s">
        <v>83</v>
      </c>
      <c r="C296" s="3" t="s">
        <v>103</v>
      </c>
      <c r="D296" s="5">
        <v>4203074639</v>
      </c>
      <c r="E296" s="6">
        <v>45884</v>
      </c>
      <c r="F296" s="7">
        <v>46037</v>
      </c>
      <c r="G296" s="7">
        <f t="shared" si="16"/>
        <v>45991</v>
      </c>
      <c r="H296" s="8">
        <v>5</v>
      </c>
      <c r="I296" s="8">
        <v>-1</v>
      </c>
      <c r="J296" s="9">
        <v>4</v>
      </c>
      <c r="K296" s="3">
        <v>5</v>
      </c>
      <c r="L296" s="17">
        <f t="shared" si="13"/>
        <v>0.8</v>
      </c>
      <c r="M296" s="17">
        <v>0.55000000000000004</v>
      </c>
      <c r="N296" s="17">
        <v>0.55000000000000004</v>
      </c>
      <c r="O296" s="13">
        <v>735484357</v>
      </c>
      <c r="P296" s="13">
        <v>735484357</v>
      </c>
      <c r="Q296" s="13">
        <v>2311691051.4500003</v>
      </c>
      <c r="R296" s="13">
        <v>2311691051.4500003</v>
      </c>
      <c r="S296" s="13">
        <v>1576206694.4500003</v>
      </c>
      <c r="T296" s="13">
        <v>0</v>
      </c>
      <c r="U296" s="14">
        <v>3.1430866332484082</v>
      </c>
      <c r="V296" s="15">
        <v>1</v>
      </c>
      <c r="W296" s="16">
        <v>1337244285.4545453</v>
      </c>
      <c r="X296" s="16">
        <v>-2865830353.545455</v>
      </c>
    </row>
    <row r="297" spans="1:24" x14ac:dyDescent="0.45">
      <c r="A297" s="3" t="s">
        <v>47</v>
      </c>
      <c r="B297" s="3" t="s">
        <v>83</v>
      </c>
      <c r="C297" s="3" t="s">
        <v>103</v>
      </c>
      <c r="D297" s="5">
        <v>4203074639</v>
      </c>
      <c r="E297" s="6">
        <v>45884</v>
      </c>
      <c r="F297" s="7">
        <v>46037</v>
      </c>
      <c r="G297" s="7">
        <f>EOMONTH(E297,J297-1)</f>
        <v>46022</v>
      </c>
      <c r="H297" s="8">
        <v>5</v>
      </c>
      <c r="I297" s="8">
        <v>-4</v>
      </c>
      <c r="J297" s="9">
        <v>5</v>
      </c>
      <c r="K297" s="3">
        <v>5</v>
      </c>
      <c r="L297" s="17">
        <f t="shared" si="13"/>
        <v>1</v>
      </c>
      <c r="M297" s="17">
        <v>0.75</v>
      </c>
      <c r="N297" s="17">
        <v>0.75</v>
      </c>
      <c r="O297" s="13">
        <v>735484357</v>
      </c>
      <c r="P297" s="13">
        <v>735484357</v>
      </c>
      <c r="Q297" s="13">
        <v>3152305979.25</v>
      </c>
      <c r="R297" s="13">
        <v>3152305979.25</v>
      </c>
      <c r="S297" s="13">
        <v>2416821622.25</v>
      </c>
      <c r="T297" s="13">
        <v>0</v>
      </c>
      <c r="U297" s="14">
        <v>4.2860272271569197</v>
      </c>
      <c r="V297" s="15">
        <v>1</v>
      </c>
      <c r="W297" s="16">
        <v>980645809.33333337</v>
      </c>
      <c r="X297" s="16">
        <v>-3222428829.6666665</v>
      </c>
    </row>
    <row r="298" spans="1:24" x14ac:dyDescent="0.45">
      <c r="A298" s="35" t="s">
        <v>3</v>
      </c>
      <c r="B298" s="35" t="s">
        <v>77</v>
      </c>
      <c r="C298" s="35" t="s">
        <v>102</v>
      </c>
      <c r="D298" s="5">
        <v>1422409157</v>
      </c>
      <c r="E298" s="6">
        <v>45292</v>
      </c>
      <c r="F298" s="7">
        <v>45534</v>
      </c>
      <c r="G298" s="7">
        <f t="shared" si="16"/>
        <v>45322</v>
      </c>
      <c r="H298" s="8">
        <v>7.97</v>
      </c>
      <c r="I298" s="8">
        <v>-6.97</v>
      </c>
      <c r="J298" s="9">
        <v>1</v>
      </c>
      <c r="K298" s="3">
        <v>8</v>
      </c>
      <c r="L298" s="17">
        <f t="shared" si="13"/>
        <v>0.125</v>
      </c>
      <c r="M298" s="17">
        <v>0.1</v>
      </c>
      <c r="N298" s="17">
        <v>0.08</v>
      </c>
      <c r="O298" s="13">
        <v>153115599.630252</v>
      </c>
      <c r="P298" s="13">
        <v>153115599.630252</v>
      </c>
      <c r="Q298" s="13">
        <v>113792732.56</v>
      </c>
      <c r="R298" s="13">
        <v>142240915.70000002</v>
      </c>
      <c r="S298" s="13">
        <v>-39322867.070252001</v>
      </c>
      <c r="T298" s="13">
        <v>-28448183.140000015</v>
      </c>
      <c r="U298" s="14">
        <v>0.74318183669586901</v>
      </c>
      <c r="V298" s="15">
        <v>0.79999999999999993</v>
      </c>
      <c r="W298" s="16">
        <v>1913944995.37815</v>
      </c>
      <c r="X298" s="16">
        <v>491535838.37814999</v>
      </c>
    </row>
    <row r="299" spans="1:24" x14ac:dyDescent="0.45">
      <c r="A299" s="35" t="s">
        <v>3</v>
      </c>
      <c r="B299" s="35" t="s">
        <v>77</v>
      </c>
      <c r="C299" s="35" t="s">
        <v>102</v>
      </c>
      <c r="D299" s="5">
        <v>1422409157</v>
      </c>
      <c r="E299" s="6">
        <v>45292</v>
      </c>
      <c r="F299" s="7">
        <v>45534</v>
      </c>
      <c r="G299" s="7">
        <f t="shared" si="16"/>
        <v>45351</v>
      </c>
      <c r="H299" s="8">
        <v>7.97</v>
      </c>
      <c r="I299" s="8">
        <v>-5.97</v>
      </c>
      <c r="J299" s="9">
        <v>2</v>
      </c>
      <c r="K299" s="3">
        <v>8</v>
      </c>
      <c r="L299" s="17">
        <f t="shared" si="13"/>
        <v>0.25</v>
      </c>
      <c r="M299" s="17">
        <v>0.2</v>
      </c>
      <c r="N299" s="17">
        <v>0.18</v>
      </c>
      <c r="O299" s="13">
        <v>404973379.26050401</v>
      </c>
      <c r="P299" s="33">
        <v>251857779.630252</v>
      </c>
      <c r="Q299" s="13">
        <v>256033648.25999999</v>
      </c>
      <c r="R299" s="13">
        <v>284481831.40000004</v>
      </c>
      <c r="S299" s="13">
        <v>-148939731.00050402</v>
      </c>
      <c r="T299" s="13">
        <v>-28448183.140000045</v>
      </c>
      <c r="U299" s="14">
        <v>0.63222340373959063</v>
      </c>
      <c r="V299" s="15">
        <v>0.8999999999999998</v>
      </c>
      <c r="W299" s="16">
        <v>2249852107.0028</v>
      </c>
      <c r="X299" s="16">
        <v>827442950.00279999</v>
      </c>
    </row>
    <row r="300" spans="1:24" x14ac:dyDescent="0.45">
      <c r="A300" s="35" t="s">
        <v>3</v>
      </c>
      <c r="B300" s="35" t="s">
        <v>77</v>
      </c>
      <c r="C300" s="35" t="s">
        <v>102</v>
      </c>
      <c r="D300" s="5">
        <v>1422409157</v>
      </c>
      <c r="E300" s="6">
        <v>45292</v>
      </c>
      <c r="F300" s="7">
        <v>45534</v>
      </c>
      <c r="G300" s="7">
        <f t="shared" si="16"/>
        <v>45382</v>
      </c>
      <c r="H300" s="8">
        <v>7.97</v>
      </c>
      <c r="I300" s="8">
        <v>-4.97</v>
      </c>
      <c r="J300" s="9">
        <v>3</v>
      </c>
      <c r="K300" s="3">
        <v>8</v>
      </c>
      <c r="L300" s="17">
        <f t="shared" si="13"/>
        <v>0.375</v>
      </c>
      <c r="M300" s="17">
        <v>0.3</v>
      </c>
      <c r="N300" s="17">
        <v>0.32</v>
      </c>
      <c r="O300" s="13">
        <v>558088978.89075601</v>
      </c>
      <c r="P300" s="33">
        <v>153115599.630252</v>
      </c>
      <c r="Q300" s="13">
        <v>455170930.24000001</v>
      </c>
      <c r="R300" s="13">
        <v>426722747.09999996</v>
      </c>
      <c r="S300" s="13">
        <v>-102918048.650756</v>
      </c>
      <c r="T300" s="13">
        <v>28448183.140000045</v>
      </c>
      <c r="U300" s="14">
        <v>0.81558845893120235</v>
      </c>
      <c r="V300" s="15">
        <v>1.0666666666666669</v>
      </c>
      <c r="W300" s="16">
        <v>1744028059.0336125</v>
      </c>
      <c r="X300" s="16">
        <v>321618902.03361249</v>
      </c>
    </row>
    <row r="301" spans="1:24" x14ac:dyDescent="0.45">
      <c r="A301" s="35" t="s">
        <v>3</v>
      </c>
      <c r="B301" s="35" t="s">
        <v>77</v>
      </c>
      <c r="C301" s="35" t="s">
        <v>102</v>
      </c>
      <c r="D301" s="5">
        <v>1422409157</v>
      </c>
      <c r="E301" s="6">
        <v>45292</v>
      </c>
      <c r="F301" s="7">
        <v>45534</v>
      </c>
      <c r="G301" s="7">
        <f t="shared" si="16"/>
        <v>45412</v>
      </c>
      <c r="H301" s="8">
        <v>7.97</v>
      </c>
      <c r="I301" s="8">
        <v>-3.9699999999999998</v>
      </c>
      <c r="J301" s="9">
        <v>4</v>
      </c>
      <c r="K301" s="3">
        <v>8</v>
      </c>
      <c r="L301" s="17">
        <f t="shared" si="13"/>
        <v>0.5</v>
      </c>
      <c r="M301" s="17">
        <v>0.5</v>
      </c>
      <c r="N301" s="17">
        <v>0.51</v>
      </c>
      <c r="O301" s="13">
        <v>711204578.52100801</v>
      </c>
      <c r="P301" s="13">
        <v>153115599.630252</v>
      </c>
      <c r="Q301" s="13">
        <v>725428670.07000005</v>
      </c>
      <c r="R301" s="13">
        <v>711204578.5</v>
      </c>
      <c r="S301" s="13">
        <v>14224091.548992038</v>
      </c>
      <c r="T301" s="13">
        <v>14224091.570000052</v>
      </c>
      <c r="U301" s="14">
        <v>1.0199999999698706</v>
      </c>
      <c r="V301" s="15">
        <v>1.02</v>
      </c>
      <c r="W301" s="16">
        <v>1394518781.4137414</v>
      </c>
      <c r="X301" s="16">
        <v>-27890375.58625865</v>
      </c>
    </row>
    <row r="302" spans="1:24" x14ac:dyDescent="0.45">
      <c r="A302" s="35" t="s">
        <v>3</v>
      </c>
      <c r="B302" s="35" t="s">
        <v>77</v>
      </c>
      <c r="C302" s="35" t="s">
        <v>102</v>
      </c>
      <c r="D302" s="5">
        <v>1422409157</v>
      </c>
      <c r="E302" s="6">
        <v>45292</v>
      </c>
      <c r="F302" s="7">
        <v>45534</v>
      </c>
      <c r="G302" s="7">
        <f t="shared" si="16"/>
        <v>45443</v>
      </c>
      <c r="H302" s="8">
        <v>7.97</v>
      </c>
      <c r="I302" s="8">
        <v>-2.9699999999999998</v>
      </c>
      <c r="J302" s="9">
        <v>5</v>
      </c>
      <c r="K302" s="3">
        <v>8</v>
      </c>
      <c r="L302" s="17">
        <f t="shared" si="13"/>
        <v>0.625</v>
      </c>
      <c r="M302" s="17">
        <v>0.6</v>
      </c>
      <c r="N302" s="17">
        <v>0.6</v>
      </c>
      <c r="O302" s="13">
        <v>864320178.15126002</v>
      </c>
      <c r="P302" s="13">
        <v>153115599.630252</v>
      </c>
      <c r="Q302" s="13">
        <v>853445494.19999993</v>
      </c>
      <c r="R302" s="13">
        <v>853445494.19999993</v>
      </c>
      <c r="S302" s="13">
        <v>-10874683.95126009</v>
      </c>
      <c r="T302" s="13">
        <v>0</v>
      </c>
      <c r="U302" s="14">
        <v>0.98741822275337765</v>
      </c>
      <c r="V302" s="15">
        <v>1</v>
      </c>
      <c r="W302" s="16">
        <v>1440533630.2521002</v>
      </c>
      <c r="X302" s="16">
        <v>18124473.252100229</v>
      </c>
    </row>
    <row r="303" spans="1:24" x14ac:dyDescent="0.45">
      <c r="A303" s="35" t="s">
        <v>3</v>
      </c>
      <c r="B303" s="35" t="s">
        <v>77</v>
      </c>
      <c r="C303" s="35" t="s">
        <v>102</v>
      </c>
      <c r="D303" s="5">
        <v>1422409157</v>
      </c>
      <c r="E303" s="6">
        <v>45292</v>
      </c>
      <c r="F303" s="7">
        <v>45534</v>
      </c>
      <c r="G303" s="7">
        <f t="shared" si="16"/>
        <v>45473</v>
      </c>
      <c r="H303" s="8">
        <v>7.97</v>
      </c>
      <c r="I303" s="8">
        <v>-1.9699999999999998</v>
      </c>
      <c r="J303" s="9">
        <v>6</v>
      </c>
      <c r="K303" s="3">
        <v>8</v>
      </c>
      <c r="L303" s="17">
        <f t="shared" si="13"/>
        <v>0.75</v>
      </c>
      <c r="M303" s="17">
        <v>0.75</v>
      </c>
      <c r="N303" s="17">
        <v>0.73</v>
      </c>
      <c r="O303" s="13">
        <v>1116177957.781512</v>
      </c>
      <c r="P303" s="13">
        <v>251857779.630252</v>
      </c>
      <c r="Q303" s="13">
        <v>1038358684.61</v>
      </c>
      <c r="R303" s="13">
        <v>1066806867.75</v>
      </c>
      <c r="S303" s="13">
        <v>-77819273.171512008</v>
      </c>
      <c r="T303" s="13">
        <v>-28448183.139999986</v>
      </c>
      <c r="U303" s="14">
        <v>0.93028058596840268</v>
      </c>
      <c r="V303" s="15">
        <v>0.97333333333333338</v>
      </c>
      <c r="W303" s="16">
        <v>1529010901.0705643</v>
      </c>
      <c r="X303" s="16">
        <v>106601744.07056427</v>
      </c>
    </row>
    <row r="304" spans="1:24" x14ac:dyDescent="0.45">
      <c r="A304" s="35" t="s">
        <v>3</v>
      </c>
      <c r="B304" s="35" t="s">
        <v>77</v>
      </c>
      <c r="C304" s="35" t="s">
        <v>102</v>
      </c>
      <c r="D304" s="5">
        <v>1422409157</v>
      </c>
      <c r="E304" s="6">
        <v>45292</v>
      </c>
      <c r="F304" s="7">
        <v>45534</v>
      </c>
      <c r="G304" s="7">
        <f t="shared" si="16"/>
        <v>45504</v>
      </c>
      <c r="H304" s="8">
        <v>7.97</v>
      </c>
      <c r="I304" s="8">
        <v>-0.96999999999999975</v>
      </c>
      <c r="J304" s="9">
        <v>7</v>
      </c>
      <c r="K304" s="3">
        <v>8</v>
      </c>
      <c r="L304" s="17">
        <f t="shared" si="13"/>
        <v>0.875</v>
      </c>
      <c r="M304" s="17">
        <v>0.8</v>
      </c>
      <c r="N304" s="17">
        <v>0.82</v>
      </c>
      <c r="O304" s="13">
        <v>1269293557.4117641</v>
      </c>
      <c r="P304" s="33">
        <v>153115599.630252</v>
      </c>
      <c r="Q304" s="13">
        <v>1166375508.74</v>
      </c>
      <c r="R304" s="13">
        <v>1137927325.6000001</v>
      </c>
      <c r="S304" s="13">
        <v>-102918048.67176414</v>
      </c>
      <c r="T304" s="13">
        <v>28448183.139999866</v>
      </c>
      <c r="U304" s="14">
        <v>0.91891706369200687</v>
      </c>
      <c r="V304" s="15">
        <v>1.0249999999999999</v>
      </c>
      <c r="W304" s="16">
        <v>1547918972.4533708</v>
      </c>
      <c r="X304" s="16">
        <v>125509815.45337081</v>
      </c>
    </row>
    <row r="305" spans="1:24" x14ac:dyDescent="0.45">
      <c r="A305" s="35" t="s">
        <v>3</v>
      </c>
      <c r="B305" s="35" t="s">
        <v>77</v>
      </c>
      <c r="C305" s="35" t="s">
        <v>102</v>
      </c>
      <c r="D305" s="34">
        <v>1422409157</v>
      </c>
      <c r="E305" s="6">
        <v>45292</v>
      </c>
      <c r="F305" s="7">
        <v>45534</v>
      </c>
      <c r="G305" s="7">
        <f t="shared" si="16"/>
        <v>45535</v>
      </c>
      <c r="H305" s="8">
        <v>7.97</v>
      </c>
      <c r="I305" s="8">
        <v>3.0000000000000249E-2</v>
      </c>
      <c r="J305" s="9">
        <v>8</v>
      </c>
      <c r="K305" s="3">
        <v>8</v>
      </c>
      <c r="L305" s="17">
        <f t="shared" si="13"/>
        <v>1</v>
      </c>
      <c r="M305" s="17">
        <v>1</v>
      </c>
      <c r="N305" s="17">
        <v>1</v>
      </c>
      <c r="O305" s="32">
        <v>1422409157.042016</v>
      </c>
      <c r="P305" s="33">
        <v>153115599.630252</v>
      </c>
      <c r="Q305" s="13">
        <v>1422409157</v>
      </c>
      <c r="R305" s="13">
        <v>1422409157</v>
      </c>
      <c r="S305" s="13">
        <v>-4.2016029357910156E-2</v>
      </c>
      <c r="T305" s="13">
        <v>0</v>
      </c>
      <c r="U305" s="14">
        <v>0.99999999997046141</v>
      </c>
      <c r="V305" s="15">
        <v>1</v>
      </c>
      <c r="W305" s="16">
        <v>1422409157.042016</v>
      </c>
      <c r="X305" s="16">
        <v>4.2016029357910156E-2</v>
      </c>
    </row>
    <row r="306" spans="1:24" x14ac:dyDescent="0.45">
      <c r="A306" s="3" t="s">
        <v>49</v>
      </c>
      <c r="B306" s="3" t="s">
        <v>77</v>
      </c>
      <c r="C306" s="3" t="s">
        <v>102</v>
      </c>
      <c r="D306" s="5">
        <v>162301726</v>
      </c>
      <c r="E306" s="6">
        <v>45901</v>
      </c>
      <c r="F306" s="7">
        <v>46022</v>
      </c>
      <c r="G306" s="7">
        <f t="shared" si="16"/>
        <v>45930</v>
      </c>
      <c r="H306" s="8">
        <v>4</v>
      </c>
      <c r="I306" s="8">
        <v>-2</v>
      </c>
      <c r="J306" s="9">
        <v>1</v>
      </c>
      <c r="K306" s="3">
        <v>5</v>
      </c>
      <c r="L306" s="17">
        <f t="shared" si="13"/>
        <v>0.25</v>
      </c>
      <c r="M306" s="17">
        <v>0.25</v>
      </c>
      <c r="N306" s="17">
        <v>0.25</v>
      </c>
      <c r="O306" s="13">
        <v>6075431</v>
      </c>
      <c r="P306" s="13">
        <v>6075431</v>
      </c>
      <c r="Q306" s="13">
        <v>40575431.5</v>
      </c>
      <c r="R306" s="13">
        <v>40575431.5</v>
      </c>
      <c r="S306" s="13">
        <v>34500000.5</v>
      </c>
      <c r="T306" s="13">
        <v>0</v>
      </c>
      <c r="U306" s="14">
        <v>6.6786095504993801</v>
      </c>
      <c r="V306" s="15">
        <v>1</v>
      </c>
      <c r="W306" s="16">
        <v>24301724</v>
      </c>
      <c r="X306" s="16">
        <v>-138000002</v>
      </c>
    </row>
    <row r="307" spans="1:24" x14ac:dyDescent="0.45">
      <c r="A307" s="3" t="s">
        <v>49</v>
      </c>
      <c r="B307" s="3" t="s">
        <v>77</v>
      </c>
      <c r="C307" s="3" t="s">
        <v>102</v>
      </c>
      <c r="D307" s="5">
        <v>162301726</v>
      </c>
      <c r="E307" s="6">
        <v>45901</v>
      </c>
      <c r="F307" s="7">
        <v>46022</v>
      </c>
      <c r="G307" s="7">
        <f t="shared" si="16"/>
        <v>45961</v>
      </c>
      <c r="H307" s="8">
        <v>4</v>
      </c>
      <c r="I307" s="8">
        <v>-1</v>
      </c>
      <c r="J307" s="9">
        <v>2</v>
      </c>
      <c r="K307" s="3">
        <v>5</v>
      </c>
      <c r="L307" s="17">
        <f t="shared" si="13"/>
        <v>0.5</v>
      </c>
      <c r="M307" s="17">
        <v>0.5</v>
      </c>
      <c r="N307" s="17">
        <v>0.5</v>
      </c>
      <c r="O307" s="13">
        <v>33675431</v>
      </c>
      <c r="P307" s="13">
        <v>33675431</v>
      </c>
      <c r="Q307" s="13">
        <v>81150863</v>
      </c>
      <c r="R307" s="13">
        <v>81150863</v>
      </c>
      <c r="S307" s="13">
        <v>47475432</v>
      </c>
      <c r="T307" s="13">
        <v>0</v>
      </c>
      <c r="U307" s="14">
        <v>2.4097943393805412</v>
      </c>
      <c r="V307" s="15">
        <v>1</v>
      </c>
      <c r="W307" s="16">
        <v>67350862</v>
      </c>
      <c r="X307" s="16">
        <v>-94950864</v>
      </c>
    </row>
    <row r="308" spans="1:24" x14ac:dyDescent="0.45">
      <c r="A308" s="3" t="s">
        <v>49</v>
      </c>
      <c r="B308" s="3" t="s">
        <v>77</v>
      </c>
      <c r="C308" s="3" t="s">
        <v>102</v>
      </c>
      <c r="D308" s="5">
        <v>162301726</v>
      </c>
      <c r="E308" s="6">
        <v>45901</v>
      </c>
      <c r="F308" s="7">
        <v>46022</v>
      </c>
      <c r="G308" s="7">
        <f t="shared" si="16"/>
        <v>45991</v>
      </c>
      <c r="H308" s="8">
        <v>4</v>
      </c>
      <c r="I308" s="8">
        <v>0</v>
      </c>
      <c r="J308" s="9">
        <v>3</v>
      </c>
      <c r="K308" s="3">
        <v>5</v>
      </c>
      <c r="L308" s="17">
        <f t="shared" si="13"/>
        <v>0.75</v>
      </c>
      <c r="M308" s="17">
        <v>0.75</v>
      </c>
      <c r="N308" s="17">
        <v>0.75</v>
      </c>
      <c r="O308" s="13">
        <v>47475431</v>
      </c>
      <c r="P308" s="13">
        <v>47475431</v>
      </c>
      <c r="Q308" s="13">
        <v>121726294.5</v>
      </c>
      <c r="R308" s="13">
        <v>121726294.5</v>
      </c>
      <c r="S308" s="13">
        <v>74250863.5</v>
      </c>
      <c r="T308" s="13">
        <v>0</v>
      </c>
      <c r="U308" s="14">
        <v>2.5639850325950699</v>
      </c>
      <c r="V308" s="15">
        <v>1</v>
      </c>
      <c r="W308" s="16">
        <v>63300574.666666672</v>
      </c>
      <c r="X308" s="16">
        <v>-99001151.333333328</v>
      </c>
    </row>
    <row r="309" spans="1:24" x14ac:dyDescent="0.45">
      <c r="A309" s="3" t="s">
        <v>49</v>
      </c>
      <c r="B309" s="3" t="s">
        <v>77</v>
      </c>
      <c r="C309" s="3" t="s">
        <v>102</v>
      </c>
      <c r="D309" s="5">
        <v>162301726</v>
      </c>
      <c r="E309" s="6">
        <v>45901</v>
      </c>
      <c r="F309" s="7">
        <v>46022</v>
      </c>
      <c r="G309" s="7">
        <f t="shared" si="16"/>
        <v>46022</v>
      </c>
      <c r="H309" s="8">
        <v>4</v>
      </c>
      <c r="I309" s="8">
        <v>1</v>
      </c>
      <c r="J309" s="9">
        <v>4</v>
      </c>
      <c r="K309" s="3">
        <v>5</v>
      </c>
      <c r="L309" s="17">
        <f t="shared" si="13"/>
        <v>1</v>
      </c>
      <c r="M309" s="17">
        <v>1</v>
      </c>
      <c r="N309" s="17">
        <v>1</v>
      </c>
      <c r="O309" s="13">
        <v>75075431</v>
      </c>
      <c r="P309" s="13">
        <v>75075431</v>
      </c>
      <c r="Q309" s="13">
        <v>162301726</v>
      </c>
      <c r="R309" s="13">
        <v>162301726</v>
      </c>
      <c r="S309" s="13">
        <v>87226295</v>
      </c>
      <c r="T309" s="13">
        <v>0</v>
      </c>
      <c r="U309" s="14">
        <v>2.161848741168066</v>
      </c>
      <c r="V309" s="15">
        <v>1</v>
      </c>
      <c r="W309" s="16">
        <v>75075431</v>
      </c>
      <c r="X309" s="16">
        <v>-87226295</v>
      </c>
    </row>
    <row r="310" spans="1:24" x14ac:dyDescent="0.45">
      <c r="A310" s="35" t="s">
        <v>6</v>
      </c>
      <c r="B310" s="35" t="s">
        <v>79</v>
      </c>
      <c r="C310" s="35" t="s">
        <v>101</v>
      </c>
      <c r="D310" s="5">
        <v>970233948</v>
      </c>
      <c r="E310" s="6">
        <v>45306</v>
      </c>
      <c r="F310" s="7">
        <v>45412</v>
      </c>
      <c r="G310" s="7">
        <f t="shared" si="16"/>
        <v>45322</v>
      </c>
      <c r="H310" s="8">
        <v>3.5</v>
      </c>
      <c r="I310" s="8">
        <v>-2.5</v>
      </c>
      <c r="J310" s="9">
        <v>1</v>
      </c>
      <c r="K310" s="3">
        <v>4</v>
      </c>
      <c r="L310" s="17">
        <f t="shared" si="13"/>
        <v>0.16666666666666666</v>
      </c>
      <c r="M310" s="17">
        <v>0.2</v>
      </c>
      <c r="N310" s="17">
        <v>0.2</v>
      </c>
      <c r="O310" s="13">
        <v>13092805</v>
      </c>
      <c r="P310" s="13">
        <v>13092805</v>
      </c>
      <c r="Q310" s="13">
        <v>194046789.60000002</v>
      </c>
      <c r="R310" s="13">
        <v>194046789.60000002</v>
      </c>
      <c r="S310" s="13">
        <v>180953984.60000002</v>
      </c>
      <c r="T310" s="13">
        <v>0</v>
      </c>
      <c r="U310" s="14">
        <v>14.820872196599584</v>
      </c>
      <c r="V310" s="15">
        <v>1</v>
      </c>
      <c r="W310" s="16">
        <v>65464024.999999993</v>
      </c>
      <c r="X310" s="16">
        <v>-904769923</v>
      </c>
    </row>
    <row r="311" spans="1:24" x14ac:dyDescent="0.45">
      <c r="A311" s="35" t="s">
        <v>6</v>
      </c>
      <c r="B311" s="35" t="s">
        <v>79</v>
      </c>
      <c r="C311" s="35" t="s">
        <v>101</v>
      </c>
      <c r="D311" s="5">
        <v>970233948</v>
      </c>
      <c r="E311" s="6">
        <v>45306</v>
      </c>
      <c r="F311" s="7">
        <v>45412</v>
      </c>
      <c r="G311" s="7">
        <f t="shared" si="16"/>
        <v>45351</v>
      </c>
      <c r="H311" s="8">
        <v>3.5</v>
      </c>
      <c r="I311" s="8">
        <v>-1.5</v>
      </c>
      <c r="J311" s="9">
        <v>2</v>
      </c>
      <c r="K311" s="3">
        <v>4</v>
      </c>
      <c r="L311" s="17">
        <f t="shared" si="13"/>
        <v>0.33333333333333331</v>
      </c>
      <c r="M311" s="17">
        <v>0.6</v>
      </c>
      <c r="N311" s="17">
        <v>0.4</v>
      </c>
      <c r="O311" s="13">
        <v>28162559</v>
      </c>
      <c r="P311" s="13">
        <v>28162559</v>
      </c>
      <c r="Q311" s="13">
        <v>388093579.20000005</v>
      </c>
      <c r="R311" s="13">
        <v>582140368.79999995</v>
      </c>
      <c r="S311" s="13">
        <v>359931020.20000005</v>
      </c>
      <c r="T311" s="13">
        <v>-194046789.5999999</v>
      </c>
      <c r="U311" s="14">
        <v>13.780479934369602</v>
      </c>
      <c r="V311" s="15">
        <v>0.66666666666666685</v>
      </c>
      <c r="W311" s="16">
        <v>70406397.5</v>
      </c>
      <c r="X311" s="16">
        <v>-899827550.5</v>
      </c>
    </row>
    <row r="312" spans="1:24" x14ac:dyDescent="0.45">
      <c r="A312" s="35" t="s">
        <v>6</v>
      </c>
      <c r="B312" s="35" t="s">
        <v>79</v>
      </c>
      <c r="C312" s="35" t="s">
        <v>101</v>
      </c>
      <c r="D312" s="5">
        <v>970233948</v>
      </c>
      <c r="E312" s="6">
        <v>45306</v>
      </c>
      <c r="F312" s="7">
        <v>45412</v>
      </c>
      <c r="G312" s="7">
        <f t="shared" si="16"/>
        <v>45382</v>
      </c>
      <c r="H312" s="8">
        <v>3.5</v>
      </c>
      <c r="I312" s="8">
        <v>-0.5</v>
      </c>
      <c r="J312" s="9">
        <v>3</v>
      </c>
      <c r="K312" s="3">
        <v>4</v>
      </c>
      <c r="L312" s="17">
        <f t="shared" si="13"/>
        <v>0.5</v>
      </c>
      <c r="M312" s="17">
        <v>0.8</v>
      </c>
      <c r="N312" s="17">
        <v>0.5</v>
      </c>
      <c r="O312" s="13">
        <v>28162559</v>
      </c>
      <c r="P312" s="13">
        <v>28162559</v>
      </c>
      <c r="Q312" s="13">
        <v>485116974</v>
      </c>
      <c r="R312" s="13">
        <v>776187158.4000001</v>
      </c>
      <c r="S312" s="13">
        <v>456954415</v>
      </c>
      <c r="T312" s="13">
        <v>-291070184.4000001</v>
      </c>
      <c r="U312" s="14">
        <v>17.225599917962001</v>
      </c>
      <c r="V312" s="15">
        <v>0.62499999999999989</v>
      </c>
      <c r="W312" s="16">
        <v>56325118</v>
      </c>
      <c r="X312" s="16">
        <v>-913908830</v>
      </c>
    </row>
    <row r="313" spans="1:24" x14ac:dyDescent="0.45">
      <c r="A313" s="35" t="s">
        <v>6</v>
      </c>
      <c r="B313" s="35" t="s">
        <v>79</v>
      </c>
      <c r="C313" s="35" t="s">
        <v>101</v>
      </c>
      <c r="D313" s="5">
        <v>970233948</v>
      </c>
      <c r="E313" s="6">
        <v>45306</v>
      </c>
      <c r="F313" s="7">
        <v>45412</v>
      </c>
      <c r="G313" s="7">
        <f t="shared" si="16"/>
        <v>45412</v>
      </c>
      <c r="H313" s="8">
        <v>3.5</v>
      </c>
      <c r="I313" s="8">
        <v>0.5</v>
      </c>
      <c r="J313" s="9">
        <v>4</v>
      </c>
      <c r="K313" s="3">
        <v>4</v>
      </c>
      <c r="L313" s="17">
        <f t="shared" si="13"/>
        <v>0.66666666666666663</v>
      </c>
      <c r="M313" s="17">
        <v>1</v>
      </c>
      <c r="N313" s="17">
        <v>0.6</v>
      </c>
      <c r="O313" s="13">
        <v>574605868</v>
      </c>
      <c r="P313" s="13">
        <v>574605868</v>
      </c>
      <c r="Q313" s="13">
        <v>582140368.79999995</v>
      </c>
      <c r="R313" s="13">
        <v>970233948</v>
      </c>
      <c r="S313" s="13">
        <v>7534500.7999999523</v>
      </c>
      <c r="T313" s="13">
        <v>-388093579.20000005</v>
      </c>
      <c r="U313" s="14">
        <v>1.0131124675531507</v>
      </c>
      <c r="V313" s="15">
        <v>0.6</v>
      </c>
      <c r="W313" s="16">
        <v>957676446.66666675</v>
      </c>
      <c r="X313" s="16">
        <v>-12557501.333333254</v>
      </c>
    </row>
    <row r="314" spans="1:24" x14ac:dyDescent="0.45">
      <c r="A314" s="35" t="s">
        <v>6</v>
      </c>
      <c r="B314" s="35" t="s">
        <v>79</v>
      </c>
      <c r="C314" s="35" t="s">
        <v>101</v>
      </c>
      <c r="D314" s="5">
        <v>970233948</v>
      </c>
      <c r="E314" s="6">
        <v>45306</v>
      </c>
      <c r="F314" s="7">
        <v>45412</v>
      </c>
      <c r="G314" s="7">
        <f t="shared" si="16"/>
        <v>45443</v>
      </c>
      <c r="H314" s="8">
        <v>3.5</v>
      </c>
      <c r="I314" s="8">
        <v>1.5</v>
      </c>
      <c r="J314" s="9">
        <v>5</v>
      </c>
      <c r="K314" s="3">
        <v>4</v>
      </c>
      <c r="L314" s="17">
        <f t="shared" si="13"/>
        <v>0.83333333333333337</v>
      </c>
      <c r="M314" s="17">
        <v>1</v>
      </c>
      <c r="N314" s="17">
        <v>0.8</v>
      </c>
      <c r="O314" s="13">
        <v>258032419</v>
      </c>
      <c r="P314" s="13">
        <v>258032419</v>
      </c>
      <c r="Q314" s="13">
        <v>776187158.4000001</v>
      </c>
      <c r="R314" s="13">
        <v>970233948</v>
      </c>
      <c r="S314" s="13">
        <v>518154739.4000001</v>
      </c>
      <c r="T314" s="13">
        <v>-194046789.5999999</v>
      </c>
      <c r="U314" s="14">
        <v>3.0080993752959393</v>
      </c>
      <c r="V314" s="15">
        <v>0.8</v>
      </c>
      <c r="W314" s="16">
        <v>322540523.75</v>
      </c>
      <c r="X314" s="16">
        <v>-647693424.25</v>
      </c>
    </row>
    <row r="315" spans="1:24" x14ac:dyDescent="0.45">
      <c r="A315" s="35" t="s">
        <v>6</v>
      </c>
      <c r="B315" s="35" t="s">
        <v>79</v>
      </c>
      <c r="C315" s="35" t="s">
        <v>101</v>
      </c>
      <c r="D315" s="5">
        <v>970233948</v>
      </c>
      <c r="E315" s="6">
        <v>45306</v>
      </c>
      <c r="F315" s="7">
        <v>45412</v>
      </c>
      <c r="G315" s="7">
        <f t="shared" si="16"/>
        <v>45473</v>
      </c>
      <c r="H315" s="8">
        <v>3.5</v>
      </c>
      <c r="I315" s="8">
        <v>2.5</v>
      </c>
      <c r="J315" s="9">
        <v>6</v>
      </c>
      <c r="K315" s="3">
        <v>4</v>
      </c>
      <c r="L315" s="17">
        <f t="shared" si="13"/>
        <v>1</v>
      </c>
      <c r="M315" s="17">
        <v>1</v>
      </c>
      <c r="N315" s="17">
        <v>1</v>
      </c>
      <c r="O315" s="13">
        <v>62526580</v>
      </c>
      <c r="P315" s="13">
        <v>62526580</v>
      </c>
      <c r="Q315" s="13">
        <v>970233948</v>
      </c>
      <c r="R315" s="13">
        <v>970233948</v>
      </c>
      <c r="S315" s="13">
        <v>907707368</v>
      </c>
      <c r="T315" s="13">
        <v>0</v>
      </c>
      <c r="U315" s="14">
        <v>15.517144036983952</v>
      </c>
      <c r="V315" s="15">
        <v>1</v>
      </c>
      <c r="W315" s="16">
        <v>62526580</v>
      </c>
      <c r="X315" s="16">
        <v>-907707368</v>
      </c>
    </row>
    <row r="316" spans="1:24" x14ac:dyDescent="0.45">
      <c r="A316" s="3" t="s">
        <v>27</v>
      </c>
      <c r="B316" s="3" t="s">
        <v>88</v>
      </c>
      <c r="C316" s="3" t="s">
        <v>101</v>
      </c>
      <c r="D316" s="5">
        <v>5767590996</v>
      </c>
      <c r="E316" s="6">
        <v>45559</v>
      </c>
      <c r="F316" s="7">
        <v>45626</v>
      </c>
      <c r="G316" s="7">
        <f t="shared" si="16"/>
        <v>45565</v>
      </c>
      <c r="H316" s="8">
        <v>2.2000000000000002</v>
      </c>
      <c r="I316" s="8">
        <v>-1.2000000000000002</v>
      </c>
      <c r="J316" s="9">
        <v>1</v>
      </c>
      <c r="K316" s="3">
        <v>14</v>
      </c>
      <c r="L316" s="17">
        <f t="shared" si="13"/>
        <v>6.6666666666666666E-2</v>
      </c>
      <c r="M316" s="17">
        <v>0.1</v>
      </c>
      <c r="N316" s="17">
        <v>0.1</v>
      </c>
      <c r="O316" s="13" t="s">
        <v>120</v>
      </c>
      <c r="P316" s="13" t="s">
        <v>120</v>
      </c>
      <c r="Q316" s="13">
        <v>576759099.60000002</v>
      </c>
      <c r="R316" s="13">
        <v>576759099.60000002</v>
      </c>
      <c r="S316" s="13">
        <v>0</v>
      </c>
      <c r="T316" s="13">
        <v>0</v>
      </c>
      <c r="U316" s="40">
        <v>1</v>
      </c>
      <c r="V316" s="15">
        <v>1</v>
      </c>
      <c r="W316" s="16">
        <v>0</v>
      </c>
      <c r="X316" s="16">
        <v>-5767590996</v>
      </c>
    </row>
    <row r="317" spans="1:24" x14ac:dyDescent="0.45">
      <c r="A317" s="3" t="s">
        <v>27</v>
      </c>
      <c r="B317" s="3" t="s">
        <v>88</v>
      </c>
      <c r="C317" s="3" t="s">
        <v>101</v>
      </c>
      <c r="D317" s="5">
        <v>5767590996</v>
      </c>
      <c r="E317" s="6">
        <v>45559</v>
      </c>
      <c r="F317" s="7">
        <v>45626</v>
      </c>
      <c r="G317" s="7">
        <f t="shared" si="16"/>
        <v>45596</v>
      </c>
      <c r="H317" s="8">
        <v>2.2000000000000002</v>
      </c>
      <c r="I317" s="8">
        <v>-0.20000000000000018</v>
      </c>
      <c r="J317" s="9">
        <v>2</v>
      </c>
      <c r="K317" s="3">
        <v>14</v>
      </c>
      <c r="L317" s="17">
        <f t="shared" si="13"/>
        <v>0.13333333333333333</v>
      </c>
      <c r="M317" s="17">
        <v>0.15</v>
      </c>
      <c r="N317" s="17">
        <v>0.15</v>
      </c>
      <c r="O317" s="13">
        <v>-111620831</v>
      </c>
      <c r="P317" s="13">
        <v>-111620831</v>
      </c>
      <c r="Q317" s="13">
        <v>865138649.39999998</v>
      </c>
      <c r="R317" s="13">
        <v>865138649.39999998</v>
      </c>
      <c r="S317" s="13">
        <v>976759480.39999998</v>
      </c>
      <c r="T317" s="13">
        <v>0</v>
      </c>
      <c r="U317" s="14">
        <v>-7.7506917091488052</v>
      </c>
      <c r="V317" s="15">
        <v>1</v>
      </c>
      <c r="W317" s="16">
        <v>-744138873.33333337</v>
      </c>
      <c r="X317" s="16">
        <v>-6511729869.333333</v>
      </c>
    </row>
    <row r="318" spans="1:24" x14ac:dyDescent="0.45">
      <c r="A318" s="3" t="s">
        <v>27</v>
      </c>
      <c r="B318" s="3" t="s">
        <v>88</v>
      </c>
      <c r="C318" s="3" t="s">
        <v>101</v>
      </c>
      <c r="D318" s="5">
        <v>5767590996</v>
      </c>
      <c r="E318" s="6">
        <v>45559</v>
      </c>
      <c r="F318" s="7">
        <v>45626</v>
      </c>
      <c r="G318" s="7">
        <f t="shared" si="16"/>
        <v>45626</v>
      </c>
      <c r="H318" s="8">
        <v>2.2000000000000002</v>
      </c>
      <c r="I318" s="8">
        <v>0.79999999999999982</v>
      </c>
      <c r="J318" s="9">
        <v>3</v>
      </c>
      <c r="K318" s="3">
        <v>14</v>
      </c>
      <c r="L318" s="17">
        <f t="shared" si="13"/>
        <v>0.2</v>
      </c>
      <c r="M318" s="17">
        <v>0.2</v>
      </c>
      <c r="N318" s="17">
        <v>0.2</v>
      </c>
      <c r="O318" s="13">
        <v>-579756076</v>
      </c>
      <c r="P318" s="13">
        <v>-579756076</v>
      </c>
      <c r="Q318" s="13">
        <v>1153518199.2</v>
      </c>
      <c r="R318" s="13">
        <v>1153518199.2</v>
      </c>
      <c r="S318" s="13">
        <v>1733274275.2</v>
      </c>
      <c r="T318" s="13">
        <v>0</v>
      </c>
      <c r="U318" s="14">
        <v>-1.98966125057049</v>
      </c>
      <c r="V318" s="15">
        <v>1</v>
      </c>
      <c r="W318" s="16">
        <v>-2898780380</v>
      </c>
      <c r="X318" s="16">
        <v>-8666371376</v>
      </c>
    </row>
    <row r="319" spans="1:24" x14ac:dyDescent="0.45">
      <c r="A319" s="3" t="s">
        <v>27</v>
      </c>
      <c r="B319" s="3" t="s">
        <v>88</v>
      </c>
      <c r="C319" s="3" t="s">
        <v>101</v>
      </c>
      <c r="D319" s="5">
        <v>5767590996</v>
      </c>
      <c r="E319" s="6">
        <v>45559</v>
      </c>
      <c r="F319" s="7">
        <v>45626</v>
      </c>
      <c r="G319" s="7">
        <f t="shared" si="16"/>
        <v>45657</v>
      </c>
      <c r="H319" s="8">
        <v>2.2000000000000002</v>
      </c>
      <c r="I319" s="8">
        <v>1.7999999999999998</v>
      </c>
      <c r="J319" s="9">
        <v>4</v>
      </c>
      <c r="K319" s="3">
        <v>14</v>
      </c>
      <c r="L319" s="17">
        <f t="shared" si="13"/>
        <v>0.26666666666666666</v>
      </c>
      <c r="M319" s="17">
        <v>0.25</v>
      </c>
      <c r="N319" s="17">
        <v>0.3</v>
      </c>
      <c r="O319" s="13">
        <v>3637640823</v>
      </c>
      <c r="P319" s="13">
        <v>3637640823</v>
      </c>
      <c r="Q319" s="13">
        <v>1730277298.8</v>
      </c>
      <c r="R319" s="13">
        <v>1441897749</v>
      </c>
      <c r="S319" s="13">
        <v>-1907363524.2</v>
      </c>
      <c r="T319" s="13">
        <v>288379549.79999995</v>
      </c>
      <c r="U319" s="14">
        <v>0.47565919313964111</v>
      </c>
      <c r="V319" s="15">
        <v>1.2</v>
      </c>
      <c r="W319" s="16">
        <v>12125469410</v>
      </c>
      <c r="X319" s="16">
        <v>6357878414</v>
      </c>
    </row>
    <row r="320" spans="1:24" x14ac:dyDescent="0.45">
      <c r="A320" s="3" t="s">
        <v>27</v>
      </c>
      <c r="B320" s="3" t="s">
        <v>88</v>
      </c>
      <c r="C320" s="3" t="s">
        <v>101</v>
      </c>
      <c r="D320" s="5">
        <v>5767590996</v>
      </c>
      <c r="E320" s="6">
        <v>45559</v>
      </c>
      <c r="F320" s="7">
        <v>45626</v>
      </c>
      <c r="G320" s="7">
        <f t="shared" si="16"/>
        <v>45688</v>
      </c>
      <c r="H320" s="8">
        <v>2.2000000000000002</v>
      </c>
      <c r="I320" s="8">
        <v>2.8</v>
      </c>
      <c r="J320" s="9">
        <v>5</v>
      </c>
      <c r="K320" s="3">
        <v>14</v>
      </c>
      <c r="L320" s="17">
        <f t="shared" si="13"/>
        <v>0.33333333333333331</v>
      </c>
      <c r="M320" s="17">
        <v>0.3</v>
      </c>
      <c r="N320" s="17">
        <v>0.35</v>
      </c>
      <c r="O320" s="13">
        <v>-111620831</v>
      </c>
      <c r="P320" s="13">
        <v>-111620831</v>
      </c>
      <c r="Q320" s="13">
        <v>2018656848.5999999</v>
      </c>
      <c r="R320" s="13">
        <v>1730277298.8</v>
      </c>
      <c r="S320" s="13">
        <v>2130277679.5999999</v>
      </c>
      <c r="T320" s="13">
        <v>288379549.79999995</v>
      </c>
      <c r="U320" s="14">
        <v>-18.084947321347212</v>
      </c>
      <c r="V320" s="15">
        <v>1.1666666666666667</v>
      </c>
      <c r="W320" s="16">
        <v>-318916660.00000006</v>
      </c>
      <c r="X320" s="16">
        <v>-6086507656</v>
      </c>
    </row>
    <row r="321" spans="1:24" x14ac:dyDescent="0.45">
      <c r="A321" s="3" t="s">
        <v>27</v>
      </c>
      <c r="B321" s="3" t="s">
        <v>88</v>
      </c>
      <c r="C321" s="3" t="s">
        <v>101</v>
      </c>
      <c r="D321" s="5">
        <v>5767590996</v>
      </c>
      <c r="E321" s="6">
        <v>45559</v>
      </c>
      <c r="F321" s="7">
        <v>45626</v>
      </c>
      <c r="G321" s="7">
        <f t="shared" si="16"/>
        <v>45716</v>
      </c>
      <c r="H321" s="8">
        <v>2.2000000000000002</v>
      </c>
      <c r="I321" s="8">
        <v>3.8</v>
      </c>
      <c r="J321" s="9">
        <v>6</v>
      </c>
      <c r="K321" s="3">
        <v>14</v>
      </c>
      <c r="L321" s="17">
        <f t="shared" si="13"/>
        <v>0.4</v>
      </c>
      <c r="M321" s="17">
        <v>0.35</v>
      </c>
      <c r="N321" s="17">
        <v>0.4</v>
      </c>
      <c r="O321" s="13">
        <v>-111620831</v>
      </c>
      <c r="P321" s="13">
        <v>-111620831</v>
      </c>
      <c r="Q321" s="13">
        <v>2307036398.4000001</v>
      </c>
      <c r="R321" s="13">
        <v>2018656848.5999999</v>
      </c>
      <c r="S321" s="13">
        <v>2418657229.4000001</v>
      </c>
      <c r="T321" s="13">
        <v>288379549.80000019</v>
      </c>
      <c r="U321" s="14">
        <v>-20.668511224396816</v>
      </c>
      <c r="V321" s="15">
        <v>1.142857142857143</v>
      </c>
      <c r="W321" s="16">
        <v>-279052077.5</v>
      </c>
      <c r="X321" s="16">
        <v>-6046643073.5</v>
      </c>
    </row>
    <row r="322" spans="1:24" x14ac:dyDescent="0.45">
      <c r="A322" s="3" t="s">
        <v>27</v>
      </c>
      <c r="B322" s="3" t="s">
        <v>88</v>
      </c>
      <c r="C322" s="3" t="s">
        <v>101</v>
      </c>
      <c r="D322" s="5">
        <v>5767590996</v>
      </c>
      <c r="E322" s="6">
        <v>45559</v>
      </c>
      <c r="F322" s="7">
        <v>45626</v>
      </c>
      <c r="G322" s="7">
        <f t="shared" si="16"/>
        <v>45747</v>
      </c>
      <c r="H322" s="8">
        <v>2.2000000000000002</v>
      </c>
      <c r="I322" s="8">
        <v>4.8</v>
      </c>
      <c r="J322" s="9">
        <v>7</v>
      </c>
      <c r="K322" s="3">
        <v>14</v>
      </c>
      <c r="L322" s="17">
        <f t="shared" si="13"/>
        <v>0.46666666666666667</v>
      </c>
      <c r="M322" s="17">
        <v>0.4</v>
      </c>
      <c r="N322" s="17">
        <v>0.45</v>
      </c>
      <c r="O322" s="13">
        <v>-111620831</v>
      </c>
      <c r="P322" s="13">
        <v>-111620831</v>
      </c>
      <c r="Q322" s="13">
        <v>2595415948.2000003</v>
      </c>
      <c r="R322" s="13">
        <v>2307036398.4000001</v>
      </c>
      <c r="S322" s="13">
        <v>2707036779.2000003</v>
      </c>
      <c r="T322" s="13">
        <v>288379549.80000019</v>
      </c>
      <c r="U322" s="14">
        <v>-23.252075127446421</v>
      </c>
      <c r="V322" s="15">
        <v>1.125</v>
      </c>
      <c r="W322" s="16">
        <v>-248046291.11111107</v>
      </c>
      <c r="X322" s="16">
        <v>-6015637287.1111107</v>
      </c>
    </row>
    <row r="323" spans="1:24" x14ac:dyDescent="0.45">
      <c r="A323" s="3" t="s">
        <v>27</v>
      </c>
      <c r="B323" s="3" t="s">
        <v>88</v>
      </c>
      <c r="C323" s="3" t="s">
        <v>101</v>
      </c>
      <c r="D323" s="5">
        <v>5767590996</v>
      </c>
      <c r="E323" s="6">
        <v>45559</v>
      </c>
      <c r="F323" s="7">
        <v>45626</v>
      </c>
      <c r="G323" s="7">
        <f t="shared" si="16"/>
        <v>45777</v>
      </c>
      <c r="H323" s="8">
        <v>2.2000000000000002</v>
      </c>
      <c r="I323" s="8">
        <v>5.8</v>
      </c>
      <c r="J323" s="9">
        <v>8</v>
      </c>
      <c r="K323" s="3">
        <v>14</v>
      </c>
      <c r="L323" s="17">
        <f t="shared" ref="L323:L386" si="17">J323/_xlfn.MAXIFS(J323:J720,A323:A720,A323)</f>
        <v>0.53333333333333333</v>
      </c>
      <c r="M323" s="17">
        <v>0.45</v>
      </c>
      <c r="N323" s="17">
        <v>0.5</v>
      </c>
      <c r="O323" s="13">
        <v>-111620831</v>
      </c>
      <c r="P323" s="13">
        <v>-111620831</v>
      </c>
      <c r="Q323" s="13">
        <v>2883795498</v>
      </c>
      <c r="R323" s="13">
        <v>2595415948.2000003</v>
      </c>
      <c r="S323" s="13">
        <v>2995416329</v>
      </c>
      <c r="T323" s="13">
        <v>288379549.79999971</v>
      </c>
      <c r="U323" s="14">
        <v>-25.835639030496019</v>
      </c>
      <c r="V323" s="15">
        <v>1.1111111111111109</v>
      </c>
      <c r="W323" s="16">
        <v>-223241662</v>
      </c>
      <c r="X323" s="16">
        <v>-5990832658</v>
      </c>
    </row>
    <row r="324" spans="1:24" x14ac:dyDescent="0.45">
      <c r="A324" s="3" t="s">
        <v>27</v>
      </c>
      <c r="B324" s="3" t="s">
        <v>88</v>
      </c>
      <c r="C324" s="3" t="s">
        <v>101</v>
      </c>
      <c r="D324" s="5">
        <v>5767590996</v>
      </c>
      <c r="E324" s="6">
        <v>45559</v>
      </c>
      <c r="F324" s="7">
        <v>45626</v>
      </c>
      <c r="G324" s="7">
        <f t="shared" si="16"/>
        <v>45808</v>
      </c>
      <c r="H324" s="8">
        <v>2.2000000000000002</v>
      </c>
      <c r="I324" s="8">
        <v>6.8</v>
      </c>
      <c r="J324" s="9">
        <v>9</v>
      </c>
      <c r="K324" s="3">
        <v>14</v>
      </c>
      <c r="L324" s="17">
        <f t="shared" si="17"/>
        <v>0.6</v>
      </c>
      <c r="M324" s="17">
        <v>0.5</v>
      </c>
      <c r="N324" s="17">
        <v>0.55000000000000004</v>
      </c>
      <c r="O324" s="13">
        <v>-111620831</v>
      </c>
      <c r="P324" s="13">
        <v>-111620831</v>
      </c>
      <c r="Q324" s="13">
        <v>3172175047.8000002</v>
      </c>
      <c r="R324" s="13">
        <v>2883795498</v>
      </c>
      <c r="S324" s="13">
        <v>3283795878.8000002</v>
      </c>
      <c r="T324" s="13">
        <v>288379549.80000019</v>
      </c>
      <c r="U324" s="14">
        <v>-28.419202933545623</v>
      </c>
      <c r="V324" s="15">
        <v>1.1000000000000001</v>
      </c>
      <c r="W324" s="16">
        <v>-202946965.45454544</v>
      </c>
      <c r="X324" s="16">
        <v>-5970537961.454545</v>
      </c>
    </row>
    <row r="325" spans="1:24" x14ac:dyDescent="0.45">
      <c r="A325" s="3" t="s">
        <v>27</v>
      </c>
      <c r="B325" s="3" t="s">
        <v>88</v>
      </c>
      <c r="C325" s="3" t="s">
        <v>101</v>
      </c>
      <c r="D325" s="5">
        <v>5767590996</v>
      </c>
      <c r="E325" s="6">
        <v>45559</v>
      </c>
      <c r="F325" s="7">
        <v>45626</v>
      </c>
      <c r="G325" s="7">
        <f t="shared" si="16"/>
        <v>45838</v>
      </c>
      <c r="H325" s="8">
        <v>2.2000000000000002</v>
      </c>
      <c r="I325" s="8">
        <v>7.8</v>
      </c>
      <c r="J325" s="9">
        <v>10</v>
      </c>
      <c r="K325" s="3">
        <v>14</v>
      </c>
      <c r="L325" s="17">
        <f t="shared" si="17"/>
        <v>0.66666666666666663</v>
      </c>
      <c r="M325" s="17">
        <v>0.55000000000000004</v>
      </c>
      <c r="N325" s="17">
        <v>0.6</v>
      </c>
      <c r="O325" s="13">
        <v>-111620831</v>
      </c>
      <c r="P325" s="13">
        <v>-111620831</v>
      </c>
      <c r="Q325" s="13">
        <v>3460554597.5999999</v>
      </c>
      <c r="R325" s="13">
        <v>3172175047.8000002</v>
      </c>
      <c r="S325" s="13">
        <v>3572175428.5999999</v>
      </c>
      <c r="T325" s="13">
        <v>288379549.79999971</v>
      </c>
      <c r="U325" s="14">
        <v>-31.002766836595221</v>
      </c>
      <c r="V325" s="15">
        <v>1.0909090909090908</v>
      </c>
      <c r="W325" s="16">
        <v>-186034718.33333334</v>
      </c>
      <c r="X325" s="16">
        <v>-5953625714.333333</v>
      </c>
    </row>
    <row r="326" spans="1:24" x14ac:dyDescent="0.45">
      <c r="A326" s="3" t="s">
        <v>27</v>
      </c>
      <c r="B326" s="3" t="s">
        <v>88</v>
      </c>
      <c r="C326" s="3" t="s">
        <v>101</v>
      </c>
      <c r="D326" s="5">
        <v>5767590996</v>
      </c>
      <c r="E326" s="6">
        <v>45559</v>
      </c>
      <c r="F326" s="7">
        <v>45626</v>
      </c>
      <c r="G326" s="7">
        <f t="shared" si="16"/>
        <v>45869</v>
      </c>
      <c r="H326" s="8">
        <v>2.2000000000000002</v>
      </c>
      <c r="I326" s="8">
        <v>8.8000000000000007</v>
      </c>
      <c r="J326" s="9">
        <v>11</v>
      </c>
      <c r="K326" s="3">
        <v>14</v>
      </c>
      <c r="L326" s="17">
        <f t="shared" si="17"/>
        <v>0.73333333333333328</v>
      </c>
      <c r="M326" s="17">
        <v>0.6</v>
      </c>
      <c r="N326" s="17">
        <v>0.7</v>
      </c>
      <c r="O326" s="13">
        <v>-111620831</v>
      </c>
      <c r="P326" s="13">
        <v>-111620831</v>
      </c>
      <c r="Q326" s="13">
        <v>4037313697.1999998</v>
      </c>
      <c r="R326" s="13">
        <v>3460554597.5999999</v>
      </c>
      <c r="S326" s="13">
        <v>4148934528.1999998</v>
      </c>
      <c r="T326" s="13">
        <v>576759099.5999999</v>
      </c>
      <c r="U326" s="14">
        <v>-36.169894642694423</v>
      </c>
      <c r="V326" s="15">
        <v>1.1666666666666667</v>
      </c>
      <c r="W326" s="16">
        <v>-159458330.00000003</v>
      </c>
      <c r="X326" s="16">
        <v>-5927049326</v>
      </c>
    </row>
    <row r="327" spans="1:24" x14ac:dyDescent="0.45">
      <c r="A327" s="3" t="s">
        <v>27</v>
      </c>
      <c r="B327" s="3" t="s">
        <v>88</v>
      </c>
      <c r="C327" s="3" t="s">
        <v>101</v>
      </c>
      <c r="D327" s="5">
        <v>5767590996</v>
      </c>
      <c r="E327" s="6">
        <v>45559</v>
      </c>
      <c r="F327" s="7">
        <v>45626</v>
      </c>
      <c r="G327" s="7">
        <f t="shared" si="16"/>
        <v>45900</v>
      </c>
      <c r="H327" s="8">
        <v>2.2000000000000002</v>
      </c>
      <c r="I327" s="8">
        <v>9.8000000000000007</v>
      </c>
      <c r="J327" s="9">
        <v>12</v>
      </c>
      <c r="K327" s="3">
        <v>14</v>
      </c>
      <c r="L327" s="17">
        <f t="shared" si="17"/>
        <v>0.8</v>
      </c>
      <c r="M327" s="17">
        <v>0.7</v>
      </c>
      <c r="N327" s="17">
        <v>0.8</v>
      </c>
      <c r="O327" s="13">
        <v>-111620831</v>
      </c>
      <c r="P327" s="13">
        <v>-111620831</v>
      </c>
      <c r="Q327" s="13">
        <v>4614072796.8000002</v>
      </c>
      <c r="R327" s="13">
        <v>4037313697.1999998</v>
      </c>
      <c r="S327" s="13">
        <v>4725693627.8000002</v>
      </c>
      <c r="T327" s="13">
        <v>576759099.60000038</v>
      </c>
      <c r="U327" s="14">
        <v>-41.337022448793633</v>
      </c>
      <c r="V327" s="15">
        <v>1.142857142857143</v>
      </c>
      <c r="W327" s="16">
        <v>-139526038.75</v>
      </c>
      <c r="X327" s="16">
        <v>-5907117034.75</v>
      </c>
    </row>
    <row r="328" spans="1:24" x14ac:dyDescent="0.45">
      <c r="A328" s="3" t="s">
        <v>27</v>
      </c>
      <c r="B328" s="3" t="s">
        <v>88</v>
      </c>
      <c r="C328" s="3" t="s">
        <v>101</v>
      </c>
      <c r="D328" s="5">
        <v>5767590996</v>
      </c>
      <c r="E328" s="6">
        <v>45559</v>
      </c>
      <c r="F328" s="7">
        <v>45626</v>
      </c>
      <c r="G328" s="7">
        <f t="shared" si="16"/>
        <v>45930</v>
      </c>
      <c r="H328" s="8">
        <v>2.2000000000000002</v>
      </c>
      <c r="I328" s="8">
        <v>10.8</v>
      </c>
      <c r="J328" s="9">
        <v>13</v>
      </c>
      <c r="K328" s="3">
        <v>14</v>
      </c>
      <c r="L328" s="17">
        <f t="shared" si="17"/>
        <v>0.8666666666666667</v>
      </c>
      <c r="M328" s="17">
        <v>0.8</v>
      </c>
      <c r="N328" s="17">
        <v>0.9</v>
      </c>
      <c r="O328" s="13">
        <v>-111620831</v>
      </c>
      <c r="P328" s="13">
        <v>-111620831</v>
      </c>
      <c r="Q328" s="13">
        <v>5190831896.4000006</v>
      </c>
      <c r="R328" s="13">
        <v>4614072796.8000002</v>
      </c>
      <c r="S328" s="13">
        <v>5302452727.4000006</v>
      </c>
      <c r="T328" s="13">
        <v>576759099.60000038</v>
      </c>
      <c r="U328" s="14">
        <v>-46.504150254892842</v>
      </c>
      <c r="V328" s="15">
        <v>1.125</v>
      </c>
      <c r="W328" s="16">
        <v>-124023145.55555554</v>
      </c>
      <c r="X328" s="16">
        <v>-5891614141.5555553</v>
      </c>
    </row>
    <row r="329" spans="1:24" x14ac:dyDescent="0.45">
      <c r="A329" s="3" t="s">
        <v>27</v>
      </c>
      <c r="B329" s="3" t="s">
        <v>88</v>
      </c>
      <c r="C329" s="3" t="s">
        <v>101</v>
      </c>
      <c r="D329" s="5">
        <v>5767590996</v>
      </c>
      <c r="E329" s="6">
        <v>45559</v>
      </c>
      <c r="F329" s="7">
        <v>45626</v>
      </c>
      <c r="G329" s="7">
        <f t="shared" si="16"/>
        <v>45961</v>
      </c>
      <c r="H329" s="8">
        <v>2.2000000000000002</v>
      </c>
      <c r="I329" s="8">
        <v>11.8</v>
      </c>
      <c r="J329" s="9">
        <v>14</v>
      </c>
      <c r="K329" s="3">
        <v>14</v>
      </c>
      <c r="L329" s="17">
        <f t="shared" si="17"/>
        <v>0.93333333333333335</v>
      </c>
      <c r="M329" s="17">
        <v>0.9</v>
      </c>
      <c r="N329" s="17">
        <v>0.95</v>
      </c>
      <c r="O329" s="13">
        <v>-105372062</v>
      </c>
      <c r="P329" s="13">
        <v>-105372062</v>
      </c>
      <c r="Q329" s="13">
        <v>5479211446.1999998</v>
      </c>
      <c r="R329" s="13">
        <v>5190831896.4000006</v>
      </c>
      <c r="S329" s="13">
        <v>5584583508.1999998</v>
      </c>
      <c r="T329" s="13">
        <v>288379549.79999924</v>
      </c>
      <c r="U329" s="14">
        <v>-51.998711444025837</v>
      </c>
      <c r="V329" s="15">
        <v>1.0555555555555554</v>
      </c>
      <c r="W329" s="16">
        <v>-110917960</v>
      </c>
      <c r="X329" s="16">
        <v>-5878508956</v>
      </c>
    </row>
    <row r="330" spans="1:24" x14ac:dyDescent="0.45">
      <c r="A330" s="3" t="s">
        <v>27</v>
      </c>
      <c r="B330" s="3" t="s">
        <v>88</v>
      </c>
      <c r="C330" s="3" t="s">
        <v>101</v>
      </c>
      <c r="D330" s="5">
        <v>5767590996</v>
      </c>
      <c r="E330" s="6">
        <v>45559</v>
      </c>
      <c r="F330" s="7">
        <v>45626</v>
      </c>
      <c r="G330" s="7">
        <f t="shared" si="16"/>
        <v>45991</v>
      </c>
      <c r="H330" s="8">
        <v>2.2000000000000002</v>
      </c>
      <c r="I330" s="8">
        <v>12.8</v>
      </c>
      <c r="J330" s="9">
        <v>15</v>
      </c>
      <c r="K330" s="3">
        <v>14</v>
      </c>
      <c r="L330" s="17">
        <f t="shared" si="17"/>
        <v>1</v>
      </c>
      <c r="M330" s="17">
        <v>1</v>
      </c>
      <c r="N330" s="17">
        <v>1</v>
      </c>
      <c r="O330" s="13">
        <v>-105372062</v>
      </c>
      <c r="P330" s="13">
        <v>-105372062</v>
      </c>
      <c r="Q330" s="13">
        <v>5767590996</v>
      </c>
      <c r="R330" s="13">
        <v>5767590996</v>
      </c>
      <c r="S330" s="13">
        <v>5872963058</v>
      </c>
      <c r="T330" s="13">
        <v>0</v>
      </c>
      <c r="U330" s="14">
        <v>-54.735485730553513</v>
      </c>
      <c r="V330" s="15">
        <v>1</v>
      </c>
      <c r="W330" s="16">
        <v>-105372062</v>
      </c>
      <c r="X330" s="16">
        <v>-5872963058</v>
      </c>
    </row>
    <row r="331" spans="1:24" x14ac:dyDescent="0.45">
      <c r="A331" s="3" t="s">
        <v>70</v>
      </c>
      <c r="B331" s="3" t="s">
        <v>93</v>
      </c>
      <c r="C331" s="3" t="s">
        <v>101</v>
      </c>
      <c r="D331" s="5">
        <v>6123938211</v>
      </c>
      <c r="E331" s="6">
        <v>46023</v>
      </c>
      <c r="F331" s="7">
        <v>46113</v>
      </c>
      <c r="G331" s="7">
        <f t="shared" ref="G331:G339" si="18">EOMONTH(E331,J331-1)</f>
        <v>46053</v>
      </c>
      <c r="H331" s="8">
        <v>3</v>
      </c>
      <c r="I331" s="8">
        <v>-2</v>
      </c>
      <c r="J331" s="9">
        <v>1</v>
      </c>
      <c r="K331" s="3">
        <v>3</v>
      </c>
      <c r="L331" s="17">
        <f t="shared" si="17"/>
        <v>0.33333333333333331</v>
      </c>
      <c r="M331" s="17">
        <v>0</v>
      </c>
      <c r="N331" s="17">
        <v>0.3</v>
      </c>
      <c r="O331" s="13">
        <v>642077207</v>
      </c>
      <c r="P331" s="13">
        <v>642077207</v>
      </c>
      <c r="Q331" s="13">
        <v>1837181463.3</v>
      </c>
      <c r="R331" s="13">
        <v>0</v>
      </c>
      <c r="S331" s="13">
        <v>1195104256.3</v>
      </c>
      <c r="T331" s="13">
        <v>1837181463.3</v>
      </c>
      <c r="U331" s="14">
        <v>2.8613092682170231</v>
      </c>
      <c r="V331" s="15">
        <v>0</v>
      </c>
      <c r="W331" s="16">
        <v>2140257356.6666665</v>
      </c>
      <c r="X331" s="16">
        <v>-3983680854.3333335</v>
      </c>
    </row>
    <row r="332" spans="1:24" x14ac:dyDescent="0.45">
      <c r="A332" s="3" t="s">
        <v>70</v>
      </c>
      <c r="B332" s="3" t="s">
        <v>93</v>
      </c>
      <c r="C332" s="3" t="s">
        <v>101</v>
      </c>
      <c r="D332" s="5">
        <v>6123938211</v>
      </c>
      <c r="E332" s="6">
        <v>46023</v>
      </c>
      <c r="F332" s="7">
        <v>46113</v>
      </c>
      <c r="G332" s="7">
        <f t="shared" si="18"/>
        <v>46081</v>
      </c>
      <c r="H332" s="8">
        <v>3</v>
      </c>
      <c r="I332" s="8">
        <v>-1</v>
      </c>
      <c r="J332" s="9">
        <v>2</v>
      </c>
      <c r="K332" s="3">
        <v>3</v>
      </c>
      <c r="L332" s="17">
        <f t="shared" si="17"/>
        <v>0.66666666666666663</v>
      </c>
      <c r="M332" s="17">
        <v>0</v>
      </c>
      <c r="N332" s="17">
        <v>0.4</v>
      </c>
      <c r="O332" s="13">
        <v>3649049977</v>
      </c>
      <c r="P332" s="13">
        <v>3649049977</v>
      </c>
      <c r="Q332" s="13">
        <v>2449575284.4000001</v>
      </c>
      <c r="R332" s="13">
        <v>0</v>
      </c>
      <c r="S332" s="13">
        <v>-1199474692.5999999</v>
      </c>
      <c r="T332" s="13">
        <v>2449575284.4000001</v>
      </c>
      <c r="U332" s="14">
        <v>0.67129124014187214</v>
      </c>
      <c r="V332" s="15">
        <v>0</v>
      </c>
      <c r="W332" s="16">
        <v>9122624942.5</v>
      </c>
      <c r="X332" s="16">
        <v>2998686731.5</v>
      </c>
    </row>
    <row r="333" spans="1:24" x14ac:dyDescent="0.45">
      <c r="A333" s="3" t="s">
        <v>70</v>
      </c>
      <c r="B333" s="3" t="s">
        <v>93</v>
      </c>
      <c r="C333" s="3" t="s">
        <v>101</v>
      </c>
      <c r="D333" s="5">
        <v>6123938211</v>
      </c>
      <c r="E333" s="6">
        <v>46023</v>
      </c>
      <c r="F333" s="7">
        <v>46113</v>
      </c>
      <c r="G333" s="7">
        <f t="shared" si="18"/>
        <v>46112</v>
      </c>
      <c r="H333" s="8">
        <v>3</v>
      </c>
      <c r="I333" s="8">
        <v>0</v>
      </c>
      <c r="J333" s="9">
        <v>3</v>
      </c>
      <c r="K333" s="3">
        <v>3</v>
      </c>
      <c r="L333" s="17">
        <f t="shared" si="17"/>
        <v>1</v>
      </c>
      <c r="M333" s="17">
        <v>0.5</v>
      </c>
      <c r="N333" s="17">
        <v>0.5</v>
      </c>
      <c r="O333" s="13">
        <v>0</v>
      </c>
      <c r="P333" s="13">
        <v>0</v>
      </c>
      <c r="Q333" s="13">
        <v>3061969105.5</v>
      </c>
      <c r="R333" s="13">
        <v>3061969105.5</v>
      </c>
      <c r="S333" s="13">
        <v>3061969105.5</v>
      </c>
      <c r="T333" s="13">
        <v>0</v>
      </c>
      <c r="U333" s="40">
        <v>1</v>
      </c>
      <c r="V333" s="15">
        <v>1</v>
      </c>
      <c r="W333" s="16">
        <v>0</v>
      </c>
      <c r="X333" s="16">
        <v>-6123938211</v>
      </c>
    </row>
    <row r="334" spans="1:24" x14ac:dyDescent="0.45">
      <c r="A334" s="3" t="s">
        <v>57</v>
      </c>
      <c r="B334" s="3" t="s">
        <v>96</v>
      </c>
      <c r="C334" s="3" t="s">
        <v>103</v>
      </c>
      <c r="D334" s="5">
        <v>7123723941</v>
      </c>
      <c r="E334" s="6">
        <v>45950</v>
      </c>
      <c r="F334" s="7">
        <v>46387</v>
      </c>
      <c r="G334" s="7">
        <f t="shared" si="18"/>
        <v>45961</v>
      </c>
      <c r="H334" s="8">
        <v>14.37</v>
      </c>
      <c r="I334" s="8">
        <v>-13.37</v>
      </c>
      <c r="J334" s="9">
        <v>1</v>
      </c>
      <c r="K334" s="3">
        <v>15</v>
      </c>
      <c r="L334" s="17">
        <f t="shared" si="17"/>
        <v>0.25</v>
      </c>
      <c r="M334" s="17">
        <v>0.1</v>
      </c>
      <c r="N334" s="17">
        <v>0.1</v>
      </c>
      <c r="O334" s="13">
        <v>155224195</v>
      </c>
      <c r="P334" s="13">
        <v>155224195</v>
      </c>
      <c r="Q334" s="13">
        <v>712372394.10000002</v>
      </c>
      <c r="R334" s="13">
        <v>712372394.10000002</v>
      </c>
      <c r="S334" s="13">
        <v>557148199.10000002</v>
      </c>
      <c r="T334" s="13">
        <v>0</v>
      </c>
      <c r="U334" s="14">
        <v>4.5893128587331375</v>
      </c>
      <c r="V334" s="15">
        <v>1</v>
      </c>
      <c r="W334" s="16">
        <v>1552241950</v>
      </c>
      <c r="X334" s="16">
        <v>-5571481991</v>
      </c>
    </row>
    <row r="335" spans="1:24" x14ac:dyDescent="0.45">
      <c r="A335" s="3" t="s">
        <v>57</v>
      </c>
      <c r="B335" s="3" t="s">
        <v>96</v>
      </c>
      <c r="C335" s="3" t="s">
        <v>103</v>
      </c>
      <c r="D335" s="5">
        <v>7123723941</v>
      </c>
      <c r="E335" s="6">
        <v>45950</v>
      </c>
      <c r="F335" s="7">
        <v>46387</v>
      </c>
      <c r="G335" s="7">
        <f t="shared" si="18"/>
        <v>45991</v>
      </c>
      <c r="H335" s="8">
        <v>14.37</v>
      </c>
      <c r="I335" s="8">
        <v>-12.37</v>
      </c>
      <c r="J335" s="9">
        <v>2</v>
      </c>
      <c r="K335" s="3">
        <v>15</v>
      </c>
      <c r="L335" s="17">
        <f t="shared" si="17"/>
        <v>0.5</v>
      </c>
      <c r="M335" s="17">
        <v>0.12</v>
      </c>
      <c r="N335" s="17">
        <v>0.12</v>
      </c>
      <c r="O335" s="13">
        <v>466512474</v>
      </c>
      <c r="P335" s="13">
        <v>466512474</v>
      </c>
      <c r="Q335" s="13">
        <v>854846872.91999996</v>
      </c>
      <c r="R335" s="13">
        <v>854846872.91999996</v>
      </c>
      <c r="S335" s="13">
        <v>388334398.91999996</v>
      </c>
      <c r="T335" s="13">
        <v>0</v>
      </c>
      <c r="U335" s="14">
        <v>1.8324201828738238</v>
      </c>
      <c r="V335" s="15">
        <v>1</v>
      </c>
      <c r="W335" s="16">
        <v>3887603950</v>
      </c>
      <c r="X335" s="16">
        <v>-3236119991</v>
      </c>
    </row>
    <row r="336" spans="1:24" x14ac:dyDescent="0.45">
      <c r="A336" s="3" t="s">
        <v>57</v>
      </c>
      <c r="B336" s="3" t="s">
        <v>96</v>
      </c>
      <c r="C336" s="3" t="s">
        <v>103</v>
      </c>
      <c r="D336" s="5">
        <v>7123723941</v>
      </c>
      <c r="E336" s="6">
        <v>45950</v>
      </c>
      <c r="F336" s="7">
        <v>46387</v>
      </c>
      <c r="G336" s="7">
        <f t="shared" si="18"/>
        <v>46022</v>
      </c>
      <c r="H336" s="8">
        <v>14.37</v>
      </c>
      <c r="I336" s="8">
        <v>-11.37</v>
      </c>
      <c r="J336" s="9">
        <v>3</v>
      </c>
      <c r="K336" s="3">
        <v>15</v>
      </c>
      <c r="L336" s="17">
        <f t="shared" si="17"/>
        <v>0.75</v>
      </c>
      <c r="M336" s="17">
        <v>0.18</v>
      </c>
      <c r="N336" s="17">
        <v>0.18</v>
      </c>
      <c r="O336" s="13">
        <v>466512474</v>
      </c>
      <c r="P336" s="13">
        <v>466512474</v>
      </c>
      <c r="Q336" s="13">
        <v>1282270309.3799999</v>
      </c>
      <c r="R336" s="13">
        <v>1282270309.3799999</v>
      </c>
      <c r="S336" s="13">
        <v>815757835.37999988</v>
      </c>
      <c r="T336" s="13">
        <v>0</v>
      </c>
      <c r="U336" s="14">
        <v>2.7486302743107354</v>
      </c>
      <c r="V336" s="15">
        <v>1</v>
      </c>
      <c r="W336" s="16">
        <v>2591735966.666667</v>
      </c>
      <c r="X336" s="16">
        <v>-4531987974.333333</v>
      </c>
    </row>
    <row r="337" spans="1:24" x14ac:dyDescent="0.45">
      <c r="A337" s="3" t="s">
        <v>57</v>
      </c>
      <c r="B337" s="3" t="s">
        <v>96</v>
      </c>
      <c r="C337" s="3" t="s">
        <v>103</v>
      </c>
      <c r="D337" s="5">
        <v>7123723941</v>
      </c>
      <c r="E337" s="6">
        <v>45950</v>
      </c>
      <c r="F337" s="7">
        <v>46387</v>
      </c>
      <c r="G337" s="7">
        <f t="shared" si="18"/>
        <v>46053</v>
      </c>
      <c r="H337" s="8">
        <v>14.37</v>
      </c>
      <c r="I337" s="8">
        <v>-10.37</v>
      </c>
      <c r="J337" s="9">
        <v>4</v>
      </c>
      <c r="K337" s="3">
        <v>15</v>
      </c>
      <c r="L337" s="17">
        <f t="shared" si="17"/>
        <v>1</v>
      </c>
      <c r="M337" s="17">
        <v>0.21333333333333299</v>
      </c>
      <c r="N337" s="17">
        <v>0.21333333333333299</v>
      </c>
      <c r="O337" s="13">
        <v>466512474</v>
      </c>
      <c r="P337" s="13">
        <v>466512474</v>
      </c>
      <c r="Q337" s="13">
        <v>1519727774.0799975</v>
      </c>
      <c r="R337" s="13">
        <v>1519727774.0799975</v>
      </c>
      <c r="S337" s="13">
        <v>1053215300.0799975</v>
      </c>
      <c r="T337" s="13">
        <v>0</v>
      </c>
      <c r="U337" s="14">
        <v>3.2576358806645707</v>
      </c>
      <c r="V337" s="15">
        <v>1</v>
      </c>
      <c r="W337" s="16">
        <v>2186777221.8750033</v>
      </c>
      <c r="X337" s="16">
        <v>-4936946719.1249962</v>
      </c>
    </row>
    <row r="338" spans="1:24" x14ac:dyDescent="0.45">
      <c r="A338" s="3" t="s">
        <v>61</v>
      </c>
      <c r="B338" s="3" t="s">
        <v>95</v>
      </c>
      <c r="C338" s="3" t="s">
        <v>101</v>
      </c>
      <c r="D338" s="5">
        <v>3323342988</v>
      </c>
      <c r="E338" s="6">
        <v>45962</v>
      </c>
      <c r="F338" s="7">
        <v>46021</v>
      </c>
      <c r="G338" s="7">
        <f t="shared" si="18"/>
        <v>45991</v>
      </c>
      <c r="H338" s="8">
        <v>1.97</v>
      </c>
      <c r="I338" s="8">
        <v>-0.97</v>
      </c>
      <c r="J338" s="9">
        <v>1</v>
      </c>
      <c r="K338" s="3">
        <v>3</v>
      </c>
      <c r="L338" s="17">
        <f t="shared" si="17"/>
        <v>0.33333333333333331</v>
      </c>
      <c r="M338" s="17">
        <v>0.5</v>
      </c>
      <c r="N338" s="17">
        <v>0.25</v>
      </c>
      <c r="O338" s="13">
        <v>3301205601</v>
      </c>
      <c r="P338" s="13">
        <v>3301205601</v>
      </c>
      <c r="Q338" s="13">
        <v>830835747</v>
      </c>
      <c r="R338" s="13">
        <v>1661671494</v>
      </c>
      <c r="S338" s="13">
        <v>-2470369854</v>
      </c>
      <c r="T338" s="13">
        <v>-830835747</v>
      </c>
      <c r="U338" s="14">
        <v>0.25167646230465729</v>
      </c>
      <c r="V338" s="15">
        <v>0.5</v>
      </c>
      <c r="W338" s="16">
        <v>13204822404</v>
      </c>
      <c r="X338" s="16">
        <v>9881479416</v>
      </c>
    </row>
    <row r="339" spans="1:24" x14ac:dyDescent="0.45">
      <c r="A339" s="3" t="s">
        <v>61</v>
      </c>
      <c r="B339" s="3" t="s">
        <v>95</v>
      </c>
      <c r="C339" s="3" t="s">
        <v>101</v>
      </c>
      <c r="D339" s="5">
        <v>3323342988</v>
      </c>
      <c r="E339" s="6">
        <v>45962</v>
      </c>
      <c r="F339" s="7">
        <v>46021</v>
      </c>
      <c r="G339" s="7">
        <f t="shared" si="18"/>
        <v>46022</v>
      </c>
      <c r="H339" s="8">
        <v>1.97</v>
      </c>
      <c r="I339" s="8">
        <v>3.0000000000000027E-2</v>
      </c>
      <c r="J339" s="9">
        <v>2</v>
      </c>
      <c r="K339" s="3">
        <v>3</v>
      </c>
      <c r="L339" s="17">
        <f t="shared" si="17"/>
        <v>0.66666666666666663</v>
      </c>
      <c r="M339" s="17">
        <v>1</v>
      </c>
      <c r="N339" s="17">
        <v>0.5</v>
      </c>
      <c r="O339" s="13">
        <v>11068693</v>
      </c>
      <c r="P339" s="13">
        <v>11068693</v>
      </c>
      <c r="Q339" s="13">
        <v>1661671494</v>
      </c>
      <c r="R339" s="13">
        <v>3323342988</v>
      </c>
      <c r="S339" s="13">
        <v>1650602801</v>
      </c>
      <c r="T339" s="13">
        <v>-1661671494</v>
      </c>
      <c r="U339" s="14">
        <v>150.12355063059388</v>
      </c>
      <c r="V339" s="15">
        <v>0.5</v>
      </c>
      <c r="W339" s="16">
        <v>22137386</v>
      </c>
      <c r="X339" s="16">
        <v>-3301205602</v>
      </c>
    </row>
    <row r="340" spans="1:24" x14ac:dyDescent="0.45">
      <c r="A340" s="3" t="s">
        <v>61</v>
      </c>
      <c r="B340" s="3" t="s">
        <v>95</v>
      </c>
      <c r="C340" s="3" t="s">
        <v>101</v>
      </c>
      <c r="D340" s="5">
        <v>3323342988</v>
      </c>
      <c r="E340" s="6">
        <v>45962</v>
      </c>
      <c r="F340" s="7">
        <v>46021</v>
      </c>
      <c r="G340" s="7">
        <f t="shared" ref="G340:G354" si="19">EOMONTH(E340,J340-1)</f>
        <v>46053</v>
      </c>
      <c r="H340" s="8">
        <v>1.97</v>
      </c>
      <c r="I340" s="8">
        <v>1.03</v>
      </c>
      <c r="J340" s="9">
        <v>3</v>
      </c>
      <c r="K340" s="3">
        <v>3</v>
      </c>
      <c r="L340" s="17">
        <f t="shared" si="17"/>
        <v>1</v>
      </c>
      <c r="M340" s="17">
        <v>1</v>
      </c>
      <c r="N340" s="17">
        <v>0.8</v>
      </c>
      <c r="O340" s="13">
        <v>11068693</v>
      </c>
      <c r="P340" s="13">
        <v>11068693</v>
      </c>
      <c r="Q340" s="13">
        <v>2658674390.4000001</v>
      </c>
      <c r="R340" s="13">
        <v>3323342988</v>
      </c>
      <c r="S340" s="13">
        <v>2647605697.4000001</v>
      </c>
      <c r="T340" s="13">
        <v>-664668597.5999999</v>
      </c>
      <c r="U340" s="14">
        <v>240.19768100895021</v>
      </c>
      <c r="V340" s="15">
        <v>0.8</v>
      </c>
      <c r="W340" s="16">
        <v>13835866.25</v>
      </c>
      <c r="X340" s="16">
        <v>-3309507121.75</v>
      </c>
    </row>
    <row r="341" spans="1:24" x14ac:dyDescent="0.45">
      <c r="A341" s="24" t="s">
        <v>54</v>
      </c>
      <c r="B341" s="3" t="s">
        <v>75</v>
      </c>
      <c r="C341" s="3" t="s">
        <v>101</v>
      </c>
      <c r="D341" s="5">
        <v>131114560</v>
      </c>
      <c r="E341" s="6">
        <v>45931</v>
      </c>
      <c r="F341" s="7">
        <v>47391</v>
      </c>
      <c r="G341" s="7">
        <f t="shared" si="19"/>
        <v>45961</v>
      </c>
      <c r="H341" s="8">
        <v>47.97</v>
      </c>
      <c r="I341" s="8">
        <v>-46.97</v>
      </c>
      <c r="J341" s="9">
        <v>1</v>
      </c>
      <c r="K341" s="3">
        <v>48</v>
      </c>
      <c r="L341" s="17">
        <f t="shared" si="17"/>
        <v>0.5</v>
      </c>
      <c r="M341" s="17">
        <v>0.85</v>
      </c>
      <c r="N341" s="17">
        <v>0.85</v>
      </c>
      <c r="O341" s="13">
        <v>130801762</v>
      </c>
      <c r="P341" s="13">
        <v>130801762</v>
      </c>
      <c r="Q341" s="13">
        <v>111447376</v>
      </c>
      <c r="R341" s="13">
        <v>111447376</v>
      </c>
      <c r="S341" s="13">
        <v>-19354386</v>
      </c>
      <c r="T341" s="13">
        <v>0</v>
      </c>
      <c r="U341" s="14">
        <v>0.85203268133345178</v>
      </c>
      <c r="V341" s="15">
        <v>1</v>
      </c>
      <c r="W341" s="16">
        <v>153884425.88235295</v>
      </c>
      <c r="X341" s="16">
        <v>22769865.882352948</v>
      </c>
    </row>
    <row r="342" spans="1:24" x14ac:dyDescent="0.45">
      <c r="A342" s="24" t="s">
        <v>54</v>
      </c>
      <c r="B342" s="3" t="s">
        <v>75</v>
      </c>
      <c r="C342" s="3" t="s">
        <v>101</v>
      </c>
      <c r="D342" s="5">
        <v>131114560</v>
      </c>
      <c r="E342" s="6">
        <v>45931</v>
      </c>
      <c r="F342" s="7">
        <v>47391</v>
      </c>
      <c r="G342" s="7">
        <f t="shared" si="19"/>
        <v>45991</v>
      </c>
      <c r="H342" s="8">
        <v>47.97</v>
      </c>
      <c r="I342" s="8">
        <v>-45.97</v>
      </c>
      <c r="J342" s="9">
        <v>2</v>
      </c>
      <c r="K342" s="3">
        <v>48</v>
      </c>
      <c r="L342" s="17">
        <f t="shared" si="17"/>
        <v>1</v>
      </c>
      <c r="M342" s="17">
        <v>0.99</v>
      </c>
      <c r="N342" s="17">
        <v>0.99</v>
      </c>
      <c r="O342" s="13">
        <v>312798</v>
      </c>
      <c r="P342" s="13">
        <v>312798</v>
      </c>
      <c r="Q342" s="13">
        <v>129803414.40000001</v>
      </c>
      <c r="R342" s="13">
        <v>129803414.40000001</v>
      </c>
      <c r="S342" s="13">
        <v>129490616.40000001</v>
      </c>
      <c r="T342" s="13">
        <v>0</v>
      </c>
      <c r="U342" s="14">
        <v>414.97520572382177</v>
      </c>
      <c r="V342" s="15">
        <v>1</v>
      </c>
      <c r="W342" s="16">
        <v>315957.57575757575</v>
      </c>
      <c r="X342" s="16">
        <v>-130798602.42424242</v>
      </c>
    </row>
    <row r="343" spans="1:24" x14ac:dyDescent="0.45">
      <c r="A343" s="3" t="s">
        <v>64</v>
      </c>
      <c r="B343" s="3" t="s">
        <v>97</v>
      </c>
      <c r="C343" s="3" t="s">
        <v>103</v>
      </c>
      <c r="D343" s="5">
        <v>4749361914</v>
      </c>
      <c r="E343" s="6">
        <v>45976</v>
      </c>
      <c r="F343" s="7">
        <v>46142</v>
      </c>
      <c r="G343" s="7">
        <f t="shared" si="19"/>
        <v>45991</v>
      </c>
      <c r="H343" s="8">
        <v>5.5</v>
      </c>
      <c r="I343" s="8">
        <v>-4.5</v>
      </c>
      <c r="J343" s="9">
        <v>1</v>
      </c>
      <c r="K343" s="3">
        <v>6</v>
      </c>
      <c r="L343" s="17">
        <f t="shared" si="17"/>
        <v>0.33333333333333331</v>
      </c>
      <c r="M343" s="17">
        <v>0.01</v>
      </c>
      <c r="N343" s="17">
        <v>0.01</v>
      </c>
      <c r="O343" s="13">
        <v>200646429</v>
      </c>
      <c r="P343" s="13">
        <v>200646429</v>
      </c>
      <c r="Q343" s="13">
        <v>47493619.140000001</v>
      </c>
      <c r="R343" s="13">
        <v>47493619.140000001</v>
      </c>
      <c r="S343" s="13">
        <v>-153152809.86000001</v>
      </c>
      <c r="T343" s="13">
        <v>0</v>
      </c>
      <c r="U343" s="14">
        <v>0.23670303716195218</v>
      </c>
      <c r="V343" s="15">
        <v>1</v>
      </c>
      <c r="W343" s="16">
        <v>20064642900</v>
      </c>
      <c r="X343" s="16">
        <v>15315280986</v>
      </c>
    </row>
    <row r="344" spans="1:24" x14ac:dyDescent="0.45">
      <c r="A344" s="3" t="s">
        <v>64</v>
      </c>
      <c r="B344" s="3" t="s">
        <v>97</v>
      </c>
      <c r="C344" s="3" t="s">
        <v>103</v>
      </c>
      <c r="D344" s="5">
        <v>4749361914</v>
      </c>
      <c r="E344" s="6">
        <v>45976</v>
      </c>
      <c r="F344" s="7">
        <v>46142</v>
      </c>
      <c r="G344" s="7">
        <f t="shared" si="19"/>
        <v>45991</v>
      </c>
      <c r="H344" s="8">
        <v>5.5</v>
      </c>
      <c r="I344" s="8">
        <v>-4.5</v>
      </c>
      <c r="J344" s="9">
        <v>1</v>
      </c>
      <c r="K344" s="3">
        <v>6</v>
      </c>
      <c r="L344" s="17">
        <f t="shared" si="17"/>
        <v>0.33333333333333331</v>
      </c>
      <c r="M344" s="17">
        <v>0.1</v>
      </c>
      <c r="N344" s="17">
        <v>0.1</v>
      </c>
      <c r="O344" s="13">
        <v>463544681</v>
      </c>
      <c r="P344" s="13">
        <v>463544681</v>
      </c>
      <c r="Q344" s="13">
        <v>474936191.40000004</v>
      </c>
      <c r="R344" s="13">
        <v>474936191.40000004</v>
      </c>
      <c r="S344" s="13">
        <v>11391510.400000036</v>
      </c>
      <c r="T344" s="13">
        <v>0</v>
      </c>
      <c r="U344" s="14">
        <v>1.0245747839785913</v>
      </c>
      <c r="V344" s="15">
        <v>1</v>
      </c>
      <c r="W344" s="16">
        <v>4635446810</v>
      </c>
      <c r="X344" s="16">
        <v>-113915104</v>
      </c>
    </row>
    <row r="345" spans="1:24" x14ac:dyDescent="0.45">
      <c r="A345" s="3" t="s">
        <v>64</v>
      </c>
      <c r="B345" s="3" t="s">
        <v>97</v>
      </c>
      <c r="C345" s="3" t="s">
        <v>103</v>
      </c>
      <c r="D345" s="5">
        <v>4749361914</v>
      </c>
      <c r="E345" s="6">
        <v>45976</v>
      </c>
      <c r="F345" s="7">
        <v>46142</v>
      </c>
      <c r="G345" s="7">
        <f t="shared" si="19"/>
        <v>46022</v>
      </c>
      <c r="H345" s="8">
        <v>5.5</v>
      </c>
      <c r="I345" s="8">
        <v>-3.5</v>
      </c>
      <c r="J345" s="9">
        <v>2</v>
      </c>
      <c r="K345" s="3">
        <v>6</v>
      </c>
      <c r="L345" s="17">
        <f t="shared" si="17"/>
        <v>0.66666666666666663</v>
      </c>
      <c r="M345" s="17">
        <v>0.3</v>
      </c>
      <c r="N345" s="17">
        <v>0.25</v>
      </c>
      <c r="O345" s="13">
        <v>3024666137</v>
      </c>
      <c r="P345" s="13">
        <v>3024666137</v>
      </c>
      <c r="Q345" s="13">
        <v>1187340478.5</v>
      </c>
      <c r="R345" s="13">
        <v>1424808574.2</v>
      </c>
      <c r="S345" s="13">
        <v>-1837325658.5</v>
      </c>
      <c r="T345" s="13">
        <v>-237468095.70000005</v>
      </c>
      <c r="U345" s="14">
        <v>0.39255257430747637</v>
      </c>
      <c r="V345" s="15">
        <v>0.83333333333333326</v>
      </c>
      <c r="W345" s="16">
        <v>12098664548</v>
      </c>
      <c r="X345" s="16">
        <v>7349302634</v>
      </c>
    </row>
    <row r="346" spans="1:24" x14ac:dyDescent="0.45">
      <c r="A346" s="3" t="s">
        <v>64</v>
      </c>
      <c r="B346" s="3" t="s">
        <v>97</v>
      </c>
      <c r="C346" s="3" t="s">
        <v>103</v>
      </c>
      <c r="D346" s="5">
        <v>4749361914</v>
      </c>
      <c r="E346" s="6">
        <v>45976</v>
      </c>
      <c r="F346" s="7">
        <v>46142</v>
      </c>
      <c r="G346" s="7">
        <f t="shared" si="19"/>
        <v>46053</v>
      </c>
      <c r="H346" s="8">
        <v>5.5</v>
      </c>
      <c r="I346" s="8">
        <v>-2.5</v>
      </c>
      <c r="J346" s="9">
        <v>3</v>
      </c>
      <c r="K346" s="3">
        <v>6</v>
      </c>
      <c r="L346" s="17">
        <f t="shared" si="17"/>
        <v>1</v>
      </c>
      <c r="M346" s="17">
        <v>0.5</v>
      </c>
      <c r="N346" s="17">
        <v>0.45</v>
      </c>
      <c r="O346" s="13">
        <v>408258621</v>
      </c>
      <c r="P346" s="13">
        <v>408258621</v>
      </c>
      <c r="Q346" s="13">
        <v>2137212861.3</v>
      </c>
      <c r="R346" s="13">
        <v>2374680957</v>
      </c>
      <c r="S346" s="13">
        <v>1728954240.3</v>
      </c>
      <c r="T346" s="13">
        <v>-237468095.70000005</v>
      </c>
      <c r="U346" s="14">
        <v>5.234948513922502</v>
      </c>
      <c r="V346" s="15">
        <v>0.9</v>
      </c>
      <c r="W346" s="16">
        <v>907241380</v>
      </c>
      <c r="X346" s="16">
        <v>-3842120534</v>
      </c>
    </row>
    <row r="347" spans="1:24" x14ac:dyDescent="0.45">
      <c r="A347" s="3" t="s">
        <v>67</v>
      </c>
      <c r="B347" s="3" t="s">
        <v>83</v>
      </c>
      <c r="C347" s="3" t="s">
        <v>102</v>
      </c>
      <c r="D347" s="5">
        <v>247635015</v>
      </c>
      <c r="E347" s="6">
        <v>45992</v>
      </c>
      <c r="F347" s="7">
        <v>46022</v>
      </c>
      <c r="G347" s="7">
        <f t="shared" si="19"/>
        <v>46022</v>
      </c>
      <c r="H347" s="8">
        <v>1</v>
      </c>
      <c r="I347" s="8">
        <v>0</v>
      </c>
      <c r="J347" s="9">
        <v>1</v>
      </c>
      <c r="K347" s="3">
        <v>2</v>
      </c>
      <c r="L347" s="17">
        <f t="shared" si="17"/>
        <v>0.5</v>
      </c>
      <c r="M347" s="17">
        <v>0.5</v>
      </c>
      <c r="N347" s="17">
        <v>0.5</v>
      </c>
      <c r="O347" s="13">
        <v>14870034</v>
      </c>
      <c r="P347" s="13">
        <v>14870034</v>
      </c>
      <c r="Q347" s="13">
        <v>123817507.5</v>
      </c>
      <c r="R347" s="13">
        <v>123817507.5</v>
      </c>
      <c r="S347" s="13">
        <v>108947473.5</v>
      </c>
      <c r="T347" s="13">
        <v>0</v>
      </c>
      <c r="U347" s="14">
        <v>8.3266458906549907</v>
      </c>
      <c r="V347" s="15">
        <v>1</v>
      </c>
      <c r="W347" s="16">
        <v>29740068</v>
      </c>
      <c r="X347" s="16">
        <v>-217894947</v>
      </c>
    </row>
    <row r="348" spans="1:24" x14ac:dyDescent="0.45">
      <c r="A348" s="3" t="s">
        <v>67</v>
      </c>
      <c r="B348" s="3" t="s">
        <v>83</v>
      </c>
      <c r="C348" s="3" t="s">
        <v>102</v>
      </c>
      <c r="D348" s="5">
        <v>247635015</v>
      </c>
      <c r="E348" s="6">
        <v>45992</v>
      </c>
      <c r="F348" s="7">
        <v>46022</v>
      </c>
      <c r="G348" s="7">
        <f t="shared" si="19"/>
        <v>46053</v>
      </c>
      <c r="H348" s="8">
        <v>1</v>
      </c>
      <c r="I348" s="8">
        <v>1</v>
      </c>
      <c r="J348" s="9">
        <v>2</v>
      </c>
      <c r="K348" s="3">
        <v>2</v>
      </c>
      <c r="L348" s="17">
        <f t="shared" si="17"/>
        <v>1</v>
      </c>
      <c r="M348" s="17">
        <v>1</v>
      </c>
      <c r="N348" s="17">
        <v>1</v>
      </c>
      <c r="O348" s="13">
        <v>232764980</v>
      </c>
      <c r="P348" s="13">
        <v>232764980</v>
      </c>
      <c r="Q348" s="13">
        <v>247635015</v>
      </c>
      <c r="R348" s="13">
        <v>247635015</v>
      </c>
      <c r="S348" s="13">
        <v>14870035</v>
      </c>
      <c r="T348" s="13">
        <v>0</v>
      </c>
      <c r="U348" s="14">
        <v>1.0638843308817332</v>
      </c>
      <c r="V348" s="15">
        <v>1</v>
      </c>
      <c r="W348" s="16">
        <v>232764980</v>
      </c>
      <c r="X348" s="16">
        <v>-14870035</v>
      </c>
    </row>
    <row r="349" spans="1:24" x14ac:dyDescent="0.45">
      <c r="A349" s="3" t="s">
        <v>45</v>
      </c>
      <c r="B349" s="3" t="s">
        <v>82</v>
      </c>
      <c r="C349" s="3" t="s">
        <v>102</v>
      </c>
      <c r="D349" s="5">
        <v>1456222952</v>
      </c>
      <c r="E349" s="6">
        <v>45880</v>
      </c>
      <c r="F349" s="7">
        <v>46662</v>
      </c>
      <c r="G349" s="7">
        <f t="shared" si="19"/>
        <v>45900</v>
      </c>
      <c r="H349" s="8">
        <v>25.7</v>
      </c>
      <c r="I349" s="8">
        <v>-24.7</v>
      </c>
      <c r="J349" s="9">
        <v>1</v>
      </c>
      <c r="K349" s="3">
        <v>26</v>
      </c>
      <c r="L349" s="17">
        <f t="shared" si="17"/>
        <v>0.16666666666666666</v>
      </c>
      <c r="M349" s="17">
        <v>0.05</v>
      </c>
      <c r="N349" s="17">
        <v>0.05</v>
      </c>
      <c r="O349" s="13">
        <v>152812301</v>
      </c>
      <c r="P349" s="13">
        <v>152812301</v>
      </c>
      <c r="Q349" s="13">
        <v>72811147.600000009</v>
      </c>
      <c r="R349" s="13">
        <v>72811147.600000009</v>
      </c>
      <c r="S349" s="13">
        <v>-80001153.399999991</v>
      </c>
      <c r="T349" s="13">
        <v>0</v>
      </c>
      <c r="U349" s="14">
        <v>0.47647438801409064</v>
      </c>
      <c r="V349" s="15">
        <v>1</v>
      </c>
      <c r="W349" s="16">
        <v>3056246019.9999995</v>
      </c>
      <c r="X349" s="16">
        <v>1600023067.9999995</v>
      </c>
    </row>
    <row r="350" spans="1:24" x14ac:dyDescent="0.45">
      <c r="A350" s="3" t="s">
        <v>45</v>
      </c>
      <c r="B350" s="3" t="s">
        <v>82</v>
      </c>
      <c r="C350" s="3" t="s">
        <v>102</v>
      </c>
      <c r="D350" s="5">
        <v>1456222952</v>
      </c>
      <c r="E350" s="6">
        <v>45880</v>
      </c>
      <c r="F350" s="7">
        <v>46662</v>
      </c>
      <c r="G350" s="7">
        <f t="shared" si="19"/>
        <v>45930</v>
      </c>
      <c r="H350" s="8">
        <v>25.7</v>
      </c>
      <c r="I350" s="8">
        <v>-23.7</v>
      </c>
      <c r="J350" s="9">
        <v>2</v>
      </c>
      <c r="K350" s="3">
        <v>26</v>
      </c>
      <c r="L350" s="17">
        <f t="shared" si="17"/>
        <v>0.33333333333333331</v>
      </c>
      <c r="M350" s="17">
        <v>0.08</v>
      </c>
      <c r="N350" s="17">
        <v>0.08</v>
      </c>
      <c r="O350" s="13">
        <v>1696173</v>
      </c>
      <c r="P350" s="13">
        <v>1696173</v>
      </c>
      <c r="Q350" s="13">
        <v>116497836.16</v>
      </c>
      <c r="R350" s="13">
        <v>116497836.16</v>
      </c>
      <c r="S350" s="13">
        <v>114801663.16</v>
      </c>
      <c r="T350" s="13">
        <v>0</v>
      </c>
      <c r="U350" s="14">
        <v>68.682755921713166</v>
      </c>
      <c r="V350" s="15">
        <v>1</v>
      </c>
      <c r="W350" s="16">
        <v>21202162.500000004</v>
      </c>
      <c r="X350" s="16">
        <v>-1435020789.5</v>
      </c>
    </row>
    <row r="351" spans="1:24" x14ac:dyDescent="0.45">
      <c r="A351" s="3" t="s">
        <v>45</v>
      </c>
      <c r="B351" s="3" t="s">
        <v>82</v>
      </c>
      <c r="C351" s="3" t="s">
        <v>102</v>
      </c>
      <c r="D351" s="5">
        <v>1456222952</v>
      </c>
      <c r="E351" s="6">
        <v>45880</v>
      </c>
      <c r="F351" s="7">
        <v>46662</v>
      </c>
      <c r="G351" s="7">
        <f t="shared" si="19"/>
        <v>45961</v>
      </c>
      <c r="H351" s="8">
        <v>25.7</v>
      </c>
      <c r="I351" s="8">
        <v>-22.7</v>
      </c>
      <c r="J351" s="9">
        <v>3</v>
      </c>
      <c r="K351" s="3">
        <v>26</v>
      </c>
      <c r="L351" s="17">
        <f t="shared" si="17"/>
        <v>0.5</v>
      </c>
      <c r="M351" s="17">
        <v>0.11</v>
      </c>
      <c r="N351" s="17">
        <v>0.11</v>
      </c>
      <c r="O351" s="13">
        <v>56955013</v>
      </c>
      <c r="P351" s="13">
        <v>56955013</v>
      </c>
      <c r="Q351" s="13">
        <v>160184524.72</v>
      </c>
      <c r="R351" s="13">
        <v>160184524.72</v>
      </c>
      <c r="S351" s="13">
        <v>103229511.72</v>
      </c>
      <c r="T351" s="13">
        <v>0</v>
      </c>
      <c r="U351" s="14">
        <v>2.8124745528545487</v>
      </c>
      <c r="V351" s="15">
        <v>1</v>
      </c>
      <c r="W351" s="16">
        <v>517772845.45454544</v>
      </c>
      <c r="X351" s="16">
        <v>-938450106.5454545</v>
      </c>
    </row>
    <row r="352" spans="1:24" x14ac:dyDescent="0.45">
      <c r="A352" s="3" t="s">
        <v>45</v>
      </c>
      <c r="B352" s="3" t="s">
        <v>82</v>
      </c>
      <c r="C352" s="3" t="s">
        <v>102</v>
      </c>
      <c r="D352" s="5">
        <v>1456222952</v>
      </c>
      <c r="E352" s="6">
        <v>45880</v>
      </c>
      <c r="F352" s="7">
        <v>46662</v>
      </c>
      <c r="G352" s="7">
        <f t="shared" si="19"/>
        <v>45991</v>
      </c>
      <c r="H352" s="8">
        <v>25.7</v>
      </c>
      <c r="I352" s="8">
        <v>-21.7</v>
      </c>
      <c r="J352" s="9">
        <v>4</v>
      </c>
      <c r="K352" s="3">
        <v>26</v>
      </c>
      <c r="L352" s="17">
        <f t="shared" si="17"/>
        <v>0.66666666666666663</v>
      </c>
      <c r="M352" s="17">
        <v>0.14000000000000001</v>
      </c>
      <c r="N352" s="17">
        <v>0.14000000000000001</v>
      </c>
      <c r="O352" s="13">
        <v>1696173</v>
      </c>
      <c r="P352" s="13">
        <v>1696173</v>
      </c>
      <c r="Q352" s="13">
        <v>203871213.28000003</v>
      </c>
      <c r="R352" s="13">
        <v>203871213.28000003</v>
      </c>
      <c r="S352" s="13">
        <v>202175040.28000003</v>
      </c>
      <c r="T352" s="13">
        <v>0</v>
      </c>
      <c r="U352" s="14">
        <v>120.19482286299808</v>
      </c>
      <c r="V352" s="15">
        <v>1</v>
      </c>
      <c r="W352" s="16">
        <v>12115521.428571425</v>
      </c>
      <c r="X352" s="16">
        <v>-1444107430.5714285</v>
      </c>
    </row>
    <row r="353" spans="1:24" x14ac:dyDescent="0.45">
      <c r="A353" s="3" t="s">
        <v>45</v>
      </c>
      <c r="B353" s="3" t="s">
        <v>82</v>
      </c>
      <c r="C353" s="3" t="s">
        <v>102</v>
      </c>
      <c r="D353" s="5">
        <v>1456222952</v>
      </c>
      <c r="E353" s="6">
        <v>45880</v>
      </c>
      <c r="F353" s="7">
        <v>46662</v>
      </c>
      <c r="G353" s="7">
        <f t="shared" si="19"/>
        <v>46022</v>
      </c>
      <c r="H353" s="8">
        <v>25.7</v>
      </c>
      <c r="I353" s="8">
        <v>-20.7</v>
      </c>
      <c r="J353" s="9">
        <v>5</v>
      </c>
      <c r="K353" s="3">
        <v>26</v>
      </c>
      <c r="L353" s="17">
        <f t="shared" si="17"/>
        <v>0.83333333333333337</v>
      </c>
      <c r="M353" s="17">
        <v>0.17</v>
      </c>
      <c r="N353" s="17">
        <v>0.17</v>
      </c>
      <c r="O353" s="13">
        <v>56955013</v>
      </c>
      <c r="P353" s="13">
        <v>56955013</v>
      </c>
      <c r="Q353" s="13">
        <v>247557901.84</v>
      </c>
      <c r="R353" s="13">
        <v>247557901.84</v>
      </c>
      <c r="S353" s="13">
        <v>190602888.84</v>
      </c>
      <c r="T353" s="13">
        <v>0</v>
      </c>
      <c r="U353" s="14">
        <v>4.3465515816843023</v>
      </c>
      <c r="V353" s="15">
        <v>1</v>
      </c>
      <c r="W353" s="16">
        <v>335029488.2352941</v>
      </c>
      <c r="X353" s="16">
        <v>-1121193463.7647059</v>
      </c>
    </row>
    <row r="354" spans="1:24" x14ac:dyDescent="0.45">
      <c r="A354" s="3" t="s">
        <v>45</v>
      </c>
      <c r="B354" s="3" t="s">
        <v>82</v>
      </c>
      <c r="C354" s="3" t="s">
        <v>102</v>
      </c>
      <c r="D354" s="5">
        <v>1456222952</v>
      </c>
      <c r="E354" s="6">
        <v>45880</v>
      </c>
      <c r="F354" s="7">
        <v>46662</v>
      </c>
      <c r="G354" s="7">
        <f t="shared" si="19"/>
        <v>46053</v>
      </c>
      <c r="H354" s="8">
        <v>25.7</v>
      </c>
      <c r="I354" s="8">
        <v>-19.7</v>
      </c>
      <c r="J354" s="9">
        <v>6</v>
      </c>
      <c r="K354" s="3">
        <v>26</v>
      </c>
      <c r="L354" s="17">
        <f t="shared" si="17"/>
        <v>1</v>
      </c>
      <c r="M354" s="17">
        <v>0.2</v>
      </c>
      <c r="N354" s="17">
        <v>0.2</v>
      </c>
      <c r="O354" s="13">
        <v>1696173</v>
      </c>
      <c r="P354" s="13">
        <v>1696173</v>
      </c>
      <c r="Q354" s="13">
        <v>291244590.40000004</v>
      </c>
      <c r="R354" s="13">
        <v>291244590.40000004</v>
      </c>
      <c r="S354" s="13">
        <v>289548417.40000004</v>
      </c>
      <c r="T354" s="13">
        <v>0</v>
      </c>
      <c r="U354" s="14">
        <v>171.70688980428295</v>
      </c>
      <c r="V354" s="15">
        <v>1</v>
      </c>
      <c r="W354" s="16">
        <v>8480865</v>
      </c>
      <c r="X354" s="16">
        <v>-1447742087</v>
      </c>
    </row>
    <row r="355" spans="1:24" x14ac:dyDescent="0.45">
      <c r="A355" s="3" t="s">
        <v>19</v>
      </c>
      <c r="B355" s="3" t="s">
        <v>80</v>
      </c>
      <c r="C355" s="3" t="s">
        <v>103</v>
      </c>
      <c r="D355" s="5">
        <v>1821030084</v>
      </c>
      <c r="E355" s="6">
        <v>45473</v>
      </c>
      <c r="F355" s="7">
        <v>45655</v>
      </c>
      <c r="G355" s="7">
        <f t="shared" ref="G355:G376" si="20">EOMONTH(E355,J355-1)</f>
        <v>45473</v>
      </c>
      <c r="H355" s="8">
        <v>5.97</v>
      </c>
      <c r="I355" s="8">
        <v>-4.97</v>
      </c>
      <c r="J355" s="9">
        <v>1</v>
      </c>
      <c r="K355" s="3">
        <v>7</v>
      </c>
      <c r="L355" s="17">
        <f t="shared" si="17"/>
        <v>0.14285714285714285</v>
      </c>
      <c r="M355" s="17">
        <v>0.15</v>
      </c>
      <c r="N355" s="17">
        <v>0.15</v>
      </c>
      <c r="O355" s="13">
        <v>303505014</v>
      </c>
      <c r="P355" s="13">
        <v>303505014</v>
      </c>
      <c r="Q355" s="13">
        <v>273154512.59999996</v>
      </c>
      <c r="R355" s="13">
        <v>273154512.59999996</v>
      </c>
      <c r="S355" s="13">
        <v>-30350501.400000036</v>
      </c>
      <c r="T355" s="13">
        <v>0</v>
      </c>
      <c r="U355" s="14">
        <v>0.89999999999999991</v>
      </c>
      <c r="V355" s="15">
        <v>1</v>
      </c>
      <c r="W355" s="16">
        <v>2023366760.0000002</v>
      </c>
      <c r="X355" s="16">
        <v>202336676.00000024</v>
      </c>
    </row>
    <row r="356" spans="1:24" x14ac:dyDescent="0.45">
      <c r="A356" s="3" t="s">
        <v>19</v>
      </c>
      <c r="B356" s="3" t="s">
        <v>80</v>
      </c>
      <c r="C356" s="3" t="s">
        <v>103</v>
      </c>
      <c r="D356" s="5">
        <v>1821030084</v>
      </c>
      <c r="E356" s="6">
        <v>45473</v>
      </c>
      <c r="F356" s="7">
        <v>45655</v>
      </c>
      <c r="G356" s="7">
        <f t="shared" si="20"/>
        <v>45504</v>
      </c>
      <c r="H356" s="8">
        <v>5.97</v>
      </c>
      <c r="I356" s="8">
        <v>-3.9699999999999998</v>
      </c>
      <c r="J356" s="9">
        <v>2</v>
      </c>
      <c r="K356" s="3">
        <v>7</v>
      </c>
      <c r="L356" s="17">
        <f t="shared" si="17"/>
        <v>0.2857142857142857</v>
      </c>
      <c r="M356" s="17">
        <v>0.2</v>
      </c>
      <c r="N356" s="17">
        <v>0.2</v>
      </c>
      <c r="O356" s="13">
        <v>303505014</v>
      </c>
      <c r="P356" s="13">
        <v>303505014</v>
      </c>
      <c r="Q356" s="13">
        <v>364206016.80000001</v>
      </c>
      <c r="R356" s="13">
        <v>364206016.80000001</v>
      </c>
      <c r="S356" s="13">
        <v>60701002.800000012</v>
      </c>
      <c r="T356" s="13">
        <v>0</v>
      </c>
      <c r="U356" s="14">
        <v>1.2</v>
      </c>
      <c r="V356" s="15">
        <v>1</v>
      </c>
      <c r="W356" s="16">
        <v>1517525070</v>
      </c>
      <c r="X356" s="16">
        <v>-303505014</v>
      </c>
    </row>
    <row r="357" spans="1:24" x14ac:dyDescent="0.45">
      <c r="A357" s="3" t="s">
        <v>19</v>
      </c>
      <c r="B357" s="3" t="s">
        <v>80</v>
      </c>
      <c r="C357" s="3" t="s">
        <v>103</v>
      </c>
      <c r="D357" s="5">
        <v>1821030084</v>
      </c>
      <c r="E357" s="6">
        <v>45473</v>
      </c>
      <c r="F357" s="7">
        <v>45655</v>
      </c>
      <c r="G357" s="7">
        <f t="shared" si="20"/>
        <v>45535</v>
      </c>
      <c r="H357" s="8">
        <v>5.97</v>
      </c>
      <c r="I357" s="8">
        <v>-2.9699999999999998</v>
      </c>
      <c r="J357" s="9">
        <v>3</v>
      </c>
      <c r="K357" s="3">
        <v>7</v>
      </c>
      <c r="L357" s="17">
        <f t="shared" si="17"/>
        <v>0.42857142857142855</v>
      </c>
      <c r="M357" s="17">
        <v>0.4</v>
      </c>
      <c r="N357" s="17">
        <v>0.45</v>
      </c>
      <c r="O357" s="13">
        <v>303505014</v>
      </c>
      <c r="P357" s="13">
        <v>303505014</v>
      </c>
      <c r="Q357" s="13">
        <v>819463537.80000007</v>
      </c>
      <c r="R357" s="13">
        <v>728412033.60000002</v>
      </c>
      <c r="S357" s="13">
        <v>515958523.80000007</v>
      </c>
      <c r="T357" s="13">
        <v>91051504.200000048</v>
      </c>
      <c r="U357" s="14">
        <v>2.7</v>
      </c>
      <c r="V357" s="15">
        <v>1.125</v>
      </c>
      <c r="W357" s="16">
        <v>674455586.66666663</v>
      </c>
      <c r="X357" s="16">
        <v>-1146574497.3333335</v>
      </c>
    </row>
    <row r="358" spans="1:24" x14ac:dyDescent="0.45">
      <c r="A358" s="3" t="s">
        <v>19</v>
      </c>
      <c r="B358" s="3" t="s">
        <v>80</v>
      </c>
      <c r="C358" s="3" t="s">
        <v>103</v>
      </c>
      <c r="D358" s="5">
        <v>1821030084</v>
      </c>
      <c r="E358" s="6">
        <v>45473</v>
      </c>
      <c r="F358" s="7">
        <v>45655</v>
      </c>
      <c r="G358" s="7">
        <f t="shared" si="20"/>
        <v>45565</v>
      </c>
      <c r="H358" s="8">
        <v>5.97</v>
      </c>
      <c r="I358" s="8">
        <v>-1.9699999999999998</v>
      </c>
      <c r="J358" s="9">
        <v>4</v>
      </c>
      <c r="K358" s="3">
        <v>7</v>
      </c>
      <c r="L358" s="17">
        <f t="shared" si="17"/>
        <v>0.5714285714285714</v>
      </c>
      <c r="M358" s="17">
        <v>0.5</v>
      </c>
      <c r="N358" s="17">
        <v>0.5</v>
      </c>
      <c r="O358" s="13">
        <v>303505014</v>
      </c>
      <c r="P358" s="13">
        <v>303505014</v>
      </c>
      <c r="Q358" s="13">
        <v>910515042</v>
      </c>
      <c r="R358" s="13">
        <v>910515042</v>
      </c>
      <c r="S358" s="13">
        <v>607010028</v>
      </c>
      <c r="T358" s="13">
        <v>0</v>
      </c>
      <c r="U358" s="14">
        <v>3</v>
      </c>
      <c r="V358" s="15">
        <v>1</v>
      </c>
      <c r="W358" s="16">
        <v>607010028</v>
      </c>
      <c r="X358" s="16">
        <v>-1214020056</v>
      </c>
    </row>
    <row r="359" spans="1:24" x14ac:dyDescent="0.45">
      <c r="A359" s="3" t="s">
        <v>19</v>
      </c>
      <c r="B359" s="3" t="s">
        <v>80</v>
      </c>
      <c r="C359" s="3" t="s">
        <v>103</v>
      </c>
      <c r="D359" s="5">
        <v>1821030084</v>
      </c>
      <c r="E359" s="6">
        <v>45473</v>
      </c>
      <c r="F359" s="7">
        <v>45655</v>
      </c>
      <c r="G359" s="7">
        <f t="shared" si="20"/>
        <v>45596</v>
      </c>
      <c r="H359" s="8">
        <v>5.97</v>
      </c>
      <c r="I359" s="8">
        <v>-0.96999999999999975</v>
      </c>
      <c r="J359" s="9">
        <v>5</v>
      </c>
      <c r="K359" s="3">
        <v>7</v>
      </c>
      <c r="L359" s="17">
        <f t="shared" si="17"/>
        <v>0.7142857142857143</v>
      </c>
      <c r="M359" s="17">
        <v>0.75</v>
      </c>
      <c r="N359" s="17">
        <v>0.8</v>
      </c>
      <c r="O359" s="13">
        <v>303505014</v>
      </c>
      <c r="P359" s="13">
        <v>303505014</v>
      </c>
      <c r="Q359" s="13">
        <v>1456824067.2</v>
      </c>
      <c r="R359" s="13">
        <v>1365772563</v>
      </c>
      <c r="S359" s="13">
        <v>1153319053.2</v>
      </c>
      <c r="T359" s="13">
        <v>91051504.200000048</v>
      </c>
      <c r="U359" s="14">
        <v>4.8</v>
      </c>
      <c r="V359" s="15">
        <v>1.0666666666666667</v>
      </c>
      <c r="W359" s="16">
        <v>379381267.5</v>
      </c>
      <c r="X359" s="16">
        <v>-1441648816.5</v>
      </c>
    </row>
    <row r="360" spans="1:24" x14ac:dyDescent="0.45">
      <c r="A360" s="3" t="s">
        <v>19</v>
      </c>
      <c r="B360" s="3" t="s">
        <v>80</v>
      </c>
      <c r="C360" s="3" t="s">
        <v>103</v>
      </c>
      <c r="D360" s="5">
        <v>1821030084</v>
      </c>
      <c r="E360" s="6">
        <v>45473</v>
      </c>
      <c r="F360" s="7">
        <v>45655</v>
      </c>
      <c r="G360" s="7">
        <f t="shared" si="20"/>
        <v>45626</v>
      </c>
      <c r="H360" s="8">
        <v>5.97</v>
      </c>
      <c r="I360" s="8">
        <v>3.0000000000000249E-2</v>
      </c>
      <c r="J360" s="9">
        <v>6</v>
      </c>
      <c r="K360" s="3">
        <v>7</v>
      </c>
      <c r="L360" s="17">
        <f t="shared" si="17"/>
        <v>0.8571428571428571</v>
      </c>
      <c r="M360" s="17">
        <v>0.85</v>
      </c>
      <c r="N360" s="17">
        <v>0.9</v>
      </c>
      <c r="O360" s="13">
        <v>303505014</v>
      </c>
      <c r="P360" s="13">
        <v>303505014</v>
      </c>
      <c r="Q360" s="13">
        <v>1638927075.6000001</v>
      </c>
      <c r="R360" s="13">
        <v>1547875571.3999999</v>
      </c>
      <c r="S360" s="13">
        <v>1335422061.6000001</v>
      </c>
      <c r="T360" s="13">
        <v>91051504.200000286</v>
      </c>
      <c r="U360" s="14">
        <v>5.4</v>
      </c>
      <c r="V360" s="15">
        <v>1.0588235294117649</v>
      </c>
      <c r="W360" s="16">
        <v>337227793.33333331</v>
      </c>
      <c r="X360" s="16">
        <v>-1483802290.6666667</v>
      </c>
    </row>
    <row r="361" spans="1:24" x14ac:dyDescent="0.45">
      <c r="A361" s="3" t="s">
        <v>19</v>
      </c>
      <c r="B361" s="3" t="s">
        <v>80</v>
      </c>
      <c r="C361" s="3" t="s">
        <v>103</v>
      </c>
      <c r="D361" s="5">
        <v>1821030084</v>
      </c>
      <c r="E361" s="6">
        <v>45473</v>
      </c>
      <c r="F361" s="7">
        <v>45655</v>
      </c>
      <c r="G361" s="7">
        <f t="shared" si="20"/>
        <v>45657</v>
      </c>
      <c r="H361" s="8">
        <v>5.97</v>
      </c>
      <c r="I361" s="8">
        <v>1.0300000000000002</v>
      </c>
      <c r="J361" s="9">
        <v>7</v>
      </c>
      <c r="K361" s="3">
        <v>7</v>
      </c>
      <c r="L361" s="17">
        <f t="shared" si="17"/>
        <v>1</v>
      </c>
      <c r="M361" s="17">
        <v>1</v>
      </c>
      <c r="N361" s="17">
        <v>1</v>
      </c>
      <c r="O361" s="13">
        <v>0</v>
      </c>
      <c r="P361" s="13">
        <v>0</v>
      </c>
      <c r="Q361" s="13">
        <v>1821030084</v>
      </c>
      <c r="R361" s="13">
        <v>1821030084</v>
      </c>
      <c r="S361" s="13">
        <v>1821030084</v>
      </c>
      <c r="T361" s="13">
        <v>0</v>
      </c>
      <c r="U361" s="40">
        <v>1</v>
      </c>
      <c r="V361" s="15">
        <v>1</v>
      </c>
      <c r="W361" s="16">
        <v>0</v>
      </c>
      <c r="X361" s="16">
        <v>-1821030084</v>
      </c>
    </row>
    <row r="362" spans="1:24" x14ac:dyDescent="0.45">
      <c r="A362" s="3" t="s">
        <v>58</v>
      </c>
      <c r="B362" s="3" t="s">
        <v>98</v>
      </c>
      <c r="C362" s="3" t="s">
        <v>103</v>
      </c>
      <c r="D362" s="5">
        <v>836827348</v>
      </c>
      <c r="E362" s="6">
        <v>45962</v>
      </c>
      <c r="F362" s="7">
        <v>46111</v>
      </c>
      <c r="G362" s="7">
        <f t="shared" si="20"/>
        <v>45991</v>
      </c>
      <c r="H362" s="8">
        <v>4.97</v>
      </c>
      <c r="I362" s="8">
        <v>-3.9699999999999998</v>
      </c>
      <c r="J362" s="9">
        <v>1</v>
      </c>
      <c r="K362" s="3">
        <v>5</v>
      </c>
      <c r="L362" s="17">
        <f t="shared" si="17"/>
        <v>0.33333333333333331</v>
      </c>
      <c r="M362" s="17">
        <v>0.25</v>
      </c>
      <c r="N362" s="17">
        <v>0.25</v>
      </c>
      <c r="O362" s="13">
        <v>190549470</v>
      </c>
      <c r="P362" s="13">
        <v>190549470</v>
      </c>
      <c r="Q362" s="13">
        <v>209206837</v>
      </c>
      <c r="R362" s="13">
        <v>209206837</v>
      </c>
      <c r="S362" s="13">
        <v>18657367</v>
      </c>
      <c r="T362" s="13">
        <v>0</v>
      </c>
      <c r="U362" s="14">
        <v>1.0979135077100974</v>
      </c>
      <c r="V362" s="15">
        <v>1</v>
      </c>
      <c r="W362" s="16">
        <v>762197880.00000012</v>
      </c>
      <c r="X362" s="16">
        <v>-74629467.999999881</v>
      </c>
    </row>
    <row r="363" spans="1:24" x14ac:dyDescent="0.45">
      <c r="A363" s="3" t="s">
        <v>58</v>
      </c>
      <c r="B363" s="3" t="s">
        <v>98</v>
      </c>
      <c r="C363" s="3" t="s">
        <v>103</v>
      </c>
      <c r="D363" s="5">
        <v>836827348</v>
      </c>
      <c r="E363" s="6">
        <v>45962</v>
      </c>
      <c r="F363" s="7">
        <v>46111</v>
      </c>
      <c r="G363" s="7">
        <f t="shared" si="20"/>
        <v>46022</v>
      </c>
      <c r="H363" s="8">
        <v>4.97</v>
      </c>
      <c r="I363" s="8">
        <v>-2.9699999999999998</v>
      </c>
      <c r="J363" s="9">
        <v>2</v>
      </c>
      <c r="K363" s="3">
        <v>5</v>
      </c>
      <c r="L363" s="17">
        <f t="shared" si="17"/>
        <v>0.66666666666666663</v>
      </c>
      <c r="M363" s="17">
        <v>0.45</v>
      </c>
      <c r="N363" s="17">
        <v>0.45</v>
      </c>
      <c r="O363" s="13">
        <v>161569470</v>
      </c>
      <c r="P363" s="13">
        <v>161569470</v>
      </c>
      <c r="Q363" s="13">
        <v>376572306.60000002</v>
      </c>
      <c r="R363" s="13">
        <v>376572306.60000002</v>
      </c>
      <c r="S363" s="13">
        <v>215002836.60000002</v>
      </c>
      <c r="T363" s="13">
        <v>0</v>
      </c>
      <c r="U363" s="14">
        <v>2.3307145007036292</v>
      </c>
      <c r="V363" s="15">
        <v>1</v>
      </c>
      <c r="W363" s="16">
        <v>359043266.66666669</v>
      </c>
      <c r="X363" s="16">
        <v>-477784081.33333331</v>
      </c>
    </row>
    <row r="364" spans="1:24" x14ac:dyDescent="0.45">
      <c r="A364" s="3" t="s">
        <v>58</v>
      </c>
      <c r="B364" s="3" t="s">
        <v>98</v>
      </c>
      <c r="C364" s="3" t="s">
        <v>103</v>
      </c>
      <c r="D364" s="5">
        <v>836827348</v>
      </c>
      <c r="E364" s="6">
        <v>45962</v>
      </c>
      <c r="F364" s="7">
        <v>46111</v>
      </c>
      <c r="G364" s="7">
        <f t="shared" si="20"/>
        <v>46053</v>
      </c>
      <c r="H364" s="8">
        <v>4.97</v>
      </c>
      <c r="I364" s="8">
        <v>-1.9699999999999998</v>
      </c>
      <c r="J364" s="9">
        <v>3</v>
      </c>
      <c r="K364" s="3">
        <v>5</v>
      </c>
      <c r="L364" s="17">
        <f t="shared" si="17"/>
        <v>1</v>
      </c>
      <c r="M364" s="17">
        <v>0.75</v>
      </c>
      <c r="N364" s="17">
        <v>0.75</v>
      </c>
      <c r="O364" s="13">
        <v>161569470</v>
      </c>
      <c r="P364" s="13">
        <v>161569470</v>
      </c>
      <c r="Q364" s="13">
        <v>627620511</v>
      </c>
      <c r="R364" s="13">
        <v>627620511</v>
      </c>
      <c r="S364" s="13">
        <v>466051041</v>
      </c>
      <c r="T364" s="13">
        <v>0</v>
      </c>
      <c r="U364" s="14">
        <v>3.8845241678393818</v>
      </c>
      <c r="V364" s="15">
        <v>1</v>
      </c>
      <c r="W364" s="16">
        <v>215425960</v>
      </c>
      <c r="X364" s="16">
        <v>-621401388</v>
      </c>
    </row>
    <row r="365" spans="1:24" x14ac:dyDescent="0.45">
      <c r="A365" s="3" t="s">
        <v>68</v>
      </c>
      <c r="B365" s="3" t="s">
        <v>83</v>
      </c>
      <c r="C365" s="3" t="s">
        <v>102</v>
      </c>
      <c r="D365" s="5">
        <v>232025819</v>
      </c>
      <c r="E365" s="6">
        <v>46006</v>
      </c>
      <c r="F365" s="7">
        <v>46022</v>
      </c>
      <c r="G365" s="7">
        <f t="shared" si="20"/>
        <v>46022</v>
      </c>
      <c r="H365" s="8">
        <v>0.53</v>
      </c>
      <c r="I365" s="8">
        <v>0.47</v>
      </c>
      <c r="J365" s="9">
        <v>1</v>
      </c>
      <c r="K365" s="3">
        <v>2</v>
      </c>
      <c r="L365" s="17">
        <f t="shared" si="17"/>
        <v>0.5</v>
      </c>
      <c r="M365" s="17">
        <v>0.5</v>
      </c>
      <c r="N365" s="17">
        <v>0.45</v>
      </c>
      <c r="O365" s="13">
        <v>6929166</v>
      </c>
      <c r="P365" s="13">
        <v>6929166</v>
      </c>
      <c r="Q365" s="13">
        <v>104411618.55</v>
      </c>
      <c r="R365" s="13">
        <v>116012909.5</v>
      </c>
      <c r="S365" s="13">
        <v>97482452.549999997</v>
      </c>
      <c r="T365" s="13">
        <v>-11601290.950000003</v>
      </c>
      <c r="U365" s="14">
        <v>15.068425052885152</v>
      </c>
      <c r="V365" s="15">
        <v>0.9</v>
      </c>
      <c r="W365" s="16">
        <v>15398146.666666668</v>
      </c>
      <c r="X365" s="16">
        <v>-216627672.33333334</v>
      </c>
    </row>
    <row r="366" spans="1:24" x14ac:dyDescent="0.45">
      <c r="A366" s="3" t="s">
        <v>68</v>
      </c>
      <c r="B366" s="3" t="s">
        <v>83</v>
      </c>
      <c r="C366" s="3" t="s">
        <v>102</v>
      </c>
      <c r="D366" s="5">
        <v>232025819</v>
      </c>
      <c r="E366" s="6">
        <v>46006</v>
      </c>
      <c r="F366" s="7">
        <v>46022</v>
      </c>
      <c r="G366" s="7">
        <f t="shared" si="20"/>
        <v>46053</v>
      </c>
      <c r="H366" s="8">
        <v>0.53</v>
      </c>
      <c r="I366" s="8">
        <v>1.47</v>
      </c>
      <c r="J366" s="9">
        <v>2</v>
      </c>
      <c r="K366" s="3">
        <v>2</v>
      </c>
      <c r="L366" s="17">
        <f t="shared" si="17"/>
        <v>1</v>
      </c>
      <c r="M366" s="17">
        <v>1</v>
      </c>
      <c r="N366" s="17">
        <v>1</v>
      </c>
      <c r="O366" s="13">
        <v>112306405</v>
      </c>
      <c r="P366" s="13">
        <v>112306405</v>
      </c>
      <c r="Q366" s="13">
        <v>232025819</v>
      </c>
      <c r="R366" s="13">
        <v>232025819</v>
      </c>
      <c r="S366" s="13">
        <v>119719414</v>
      </c>
      <c r="T366" s="13">
        <v>0</v>
      </c>
      <c r="U366" s="14">
        <v>2.0660070011144955</v>
      </c>
      <c r="V366" s="15">
        <v>1</v>
      </c>
      <c r="W366" s="16">
        <v>112306405</v>
      </c>
      <c r="X366" s="16">
        <v>-119719414</v>
      </c>
    </row>
    <row r="367" spans="1:24" x14ac:dyDescent="0.45">
      <c r="A367" s="3" t="s">
        <v>10</v>
      </c>
      <c r="B367" s="3" t="s">
        <v>75</v>
      </c>
      <c r="C367" s="3" t="s">
        <v>101</v>
      </c>
      <c r="D367" s="5">
        <v>237007609</v>
      </c>
      <c r="E367" s="6">
        <v>45383</v>
      </c>
      <c r="F367" s="7">
        <v>45412</v>
      </c>
      <c r="G367" s="7">
        <f t="shared" si="20"/>
        <v>45412</v>
      </c>
      <c r="H367" s="8">
        <v>0.97</v>
      </c>
      <c r="I367" s="8">
        <v>3.0000000000000027E-2</v>
      </c>
      <c r="J367" s="9">
        <v>1</v>
      </c>
      <c r="K367" s="3">
        <v>1</v>
      </c>
      <c r="L367" s="17">
        <f t="shared" si="17"/>
        <v>1</v>
      </c>
      <c r="M367" s="17">
        <v>1</v>
      </c>
      <c r="N367" s="17">
        <v>1</v>
      </c>
      <c r="O367" s="13">
        <v>237007609</v>
      </c>
      <c r="P367" s="13">
        <v>237007609</v>
      </c>
      <c r="Q367" s="13">
        <v>237007609</v>
      </c>
      <c r="R367" s="13">
        <v>237007609</v>
      </c>
      <c r="S367" s="13">
        <v>0</v>
      </c>
      <c r="T367" s="13">
        <v>0</v>
      </c>
      <c r="U367" s="14">
        <v>1</v>
      </c>
      <c r="V367" s="15">
        <v>1</v>
      </c>
      <c r="W367" s="16">
        <v>237007609</v>
      </c>
      <c r="X367" s="16">
        <v>0</v>
      </c>
    </row>
    <row r="368" spans="1:24" x14ac:dyDescent="0.45">
      <c r="A368" s="3" t="s">
        <v>24</v>
      </c>
      <c r="B368" s="3" t="s">
        <v>83</v>
      </c>
      <c r="C368" s="3" t="s">
        <v>102</v>
      </c>
      <c r="D368" s="5">
        <v>7049000</v>
      </c>
      <c r="E368" s="6">
        <v>45536</v>
      </c>
      <c r="F368" s="7">
        <v>45565</v>
      </c>
      <c r="G368" s="7">
        <f t="shared" si="20"/>
        <v>45565</v>
      </c>
      <c r="H368" s="8">
        <v>0.97</v>
      </c>
      <c r="I368" s="8">
        <v>3.0000000000000027E-2</v>
      </c>
      <c r="J368" s="9">
        <v>1</v>
      </c>
      <c r="K368" s="3">
        <v>1</v>
      </c>
      <c r="L368" s="17">
        <f t="shared" si="17"/>
        <v>0.33333333333333331</v>
      </c>
      <c r="M368" s="17">
        <v>1</v>
      </c>
      <c r="N368" s="17">
        <v>0.25</v>
      </c>
      <c r="O368" s="13">
        <v>0</v>
      </c>
      <c r="P368" s="13">
        <v>0</v>
      </c>
      <c r="Q368" s="13">
        <v>1762250</v>
      </c>
      <c r="R368" s="13">
        <v>7049000</v>
      </c>
      <c r="S368" s="13">
        <v>1762250</v>
      </c>
      <c r="T368" s="13">
        <v>-5286750</v>
      </c>
      <c r="U368" s="40">
        <v>1</v>
      </c>
      <c r="V368" s="15">
        <v>0.25</v>
      </c>
      <c r="W368" s="16">
        <v>0</v>
      </c>
      <c r="X368" s="16">
        <v>-7049000</v>
      </c>
    </row>
    <row r="369" spans="1:24" x14ac:dyDescent="0.45">
      <c r="A369" s="3" t="s">
        <v>24</v>
      </c>
      <c r="B369" s="3" t="s">
        <v>83</v>
      </c>
      <c r="C369" s="3" t="s">
        <v>102</v>
      </c>
      <c r="D369" s="5">
        <v>7049000</v>
      </c>
      <c r="E369" s="6">
        <v>45536</v>
      </c>
      <c r="F369" s="7">
        <v>45565</v>
      </c>
      <c r="G369" s="7">
        <f t="shared" si="20"/>
        <v>45596</v>
      </c>
      <c r="H369" s="8">
        <v>0.97</v>
      </c>
      <c r="I369" s="8">
        <v>1.03</v>
      </c>
      <c r="J369" s="9">
        <v>2</v>
      </c>
      <c r="K369" s="3">
        <v>1</v>
      </c>
      <c r="L369" s="17">
        <f t="shared" si="17"/>
        <v>0.66666666666666663</v>
      </c>
      <c r="M369" s="17">
        <v>1</v>
      </c>
      <c r="N369" s="17">
        <v>0.75</v>
      </c>
      <c r="O369" s="13">
        <v>99000</v>
      </c>
      <c r="P369" s="13">
        <v>99000</v>
      </c>
      <c r="Q369" s="13">
        <v>5286750</v>
      </c>
      <c r="R369" s="13">
        <v>7049000</v>
      </c>
      <c r="S369" s="13">
        <v>5187750</v>
      </c>
      <c r="T369" s="13">
        <v>-1762250</v>
      </c>
      <c r="U369" s="14">
        <v>53.401515151515149</v>
      </c>
      <c r="V369" s="15">
        <v>0.75</v>
      </c>
      <c r="W369" s="16">
        <v>132000</v>
      </c>
      <c r="X369" s="16">
        <v>-6917000</v>
      </c>
    </row>
    <row r="370" spans="1:24" x14ac:dyDescent="0.45">
      <c r="A370" s="3" t="s">
        <v>24</v>
      </c>
      <c r="B370" s="3" t="s">
        <v>83</v>
      </c>
      <c r="C370" s="3" t="s">
        <v>102</v>
      </c>
      <c r="D370" s="5">
        <v>7049000</v>
      </c>
      <c r="E370" s="6">
        <v>45536</v>
      </c>
      <c r="F370" s="7">
        <v>45565</v>
      </c>
      <c r="G370" s="7">
        <f t="shared" si="20"/>
        <v>45626</v>
      </c>
      <c r="H370" s="8">
        <v>0.97</v>
      </c>
      <c r="I370" s="8">
        <v>2.0300000000000002</v>
      </c>
      <c r="J370" s="9">
        <v>3</v>
      </c>
      <c r="K370" s="3">
        <v>1</v>
      </c>
      <c r="L370" s="17">
        <f t="shared" si="17"/>
        <v>1</v>
      </c>
      <c r="M370" s="17">
        <v>1</v>
      </c>
      <c r="N370" s="17">
        <v>1</v>
      </c>
      <c r="O370" s="13">
        <v>6950000</v>
      </c>
      <c r="P370" s="13">
        <v>6950000</v>
      </c>
      <c r="Q370" s="13">
        <v>7049000</v>
      </c>
      <c r="R370" s="13">
        <v>7049000</v>
      </c>
      <c r="S370" s="13">
        <v>99000</v>
      </c>
      <c r="T370" s="13">
        <v>0</v>
      </c>
      <c r="U370" s="14">
        <v>1.0142446043165467</v>
      </c>
      <c r="V370" s="15">
        <v>1</v>
      </c>
      <c r="W370" s="16">
        <v>6950000</v>
      </c>
      <c r="X370" s="16">
        <v>-99000</v>
      </c>
    </row>
    <row r="371" spans="1:24" x14ac:dyDescent="0.45">
      <c r="A371" s="3" t="s">
        <v>39</v>
      </c>
      <c r="B371" s="3" t="s">
        <v>90</v>
      </c>
      <c r="C371" s="3" t="s">
        <v>101</v>
      </c>
      <c r="D371" s="5">
        <v>10862267536</v>
      </c>
      <c r="E371" s="6">
        <v>45717</v>
      </c>
      <c r="F371" s="7">
        <v>46203</v>
      </c>
      <c r="G371" s="7">
        <f t="shared" si="20"/>
        <v>45747</v>
      </c>
      <c r="H371" s="8">
        <v>15.97</v>
      </c>
      <c r="I371" s="8">
        <v>-14.97</v>
      </c>
      <c r="J371" s="9">
        <v>1</v>
      </c>
      <c r="K371" s="3">
        <v>16</v>
      </c>
      <c r="L371" s="17">
        <f t="shared" si="17"/>
        <v>9.0909090909090912E-2</v>
      </c>
      <c r="M371" s="17">
        <v>0.15</v>
      </c>
      <c r="N371" s="17">
        <v>0.15</v>
      </c>
      <c r="O371" s="13">
        <v>246271024</v>
      </c>
      <c r="P371" s="13">
        <v>246271024</v>
      </c>
      <c r="Q371" s="13">
        <v>1629340130.3999999</v>
      </c>
      <c r="R371" s="13">
        <v>1629340130.3999999</v>
      </c>
      <c r="S371" s="13">
        <v>1383069106.3999999</v>
      </c>
      <c r="T371" s="13">
        <v>0</v>
      </c>
      <c r="U371" s="14">
        <v>6.6160448108584626</v>
      </c>
      <c r="V371" s="15">
        <v>1</v>
      </c>
      <c r="W371" s="16">
        <v>1641806826.6666667</v>
      </c>
      <c r="X371" s="16">
        <v>-9220460709.333334</v>
      </c>
    </row>
    <row r="372" spans="1:24" x14ac:dyDescent="0.45">
      <c r="A372" s="3" t="s">
        <v>39</v>
      </c>
      <c r="B372" s="3" t="s">
        <v>90</v>
      </c>
      <c r="C372" s="3" t="s">
        <v>101</v>
      </c>
      <c r="D372" s="5">
        <v>10862267536</v>
      </c>
      <c r="E372" s="6">
        <v>45717</v>
      </c>
      <c r="F372" s="7">
        <v>46203</v>
      </c>
      <c r="G372" s="7">
        <f t="shared" si="20"/>
        <v>45777</v>
      </c>
      <c r="H372" s="8">
        <v>15.97</v>
      </c>
      <c r="I372" s="8">
        <v>-13.97</v>
      </c>
      <c r="J372" s="9">
        <v>2</v>
      </c>
      <c r="K372" s="3">
        <v>16</v>
      </c>
      <c r="L372" s="17">
        <f t="shared" si="17"/>
        <v>0.18181818181818182</v>
      </c>
      <c r="M372" s="17">
        <v>0.2</v>
      </c>
      <c r="N372" s="17">
        <v>0.2</v>
      </c>
      <c r="O372" s="13">
        <v>653084711</v>
      </c>
      <c r="P372" s="13">
        <v>653084711</v>
      </c>
      <c r="Q372" s="13">
        <v>2172453507.2000003</v>
      </c>
      <c r="R372" s="13">
        <v>2172453507.2000003</v>
      </c>
      <c r="S372" s="13">
        <v>1519368796.2000003</v>
      </c>
      <c r="T372" s="13">
        <v>0</v>
      </c>
      <c r="U372" s="14">
        <v>3.3264498013949071</v>
      </c>
      <c r="V372" s="15">
        <v>1</v>
      </c>
      <c r="W372" s="16">
        <v>3265423554.9999995</v>
      </c>
      <c r="X372" s="16">
        <v>-7596843981</v>
      </c>
    </row>
    <row r="373" spans="1:24" x14ac:dyDescent="0.45">
      <c r="A373" s="3" t="s">
        <v>39</v>
      </c>
      <c r="B373" s="3" t="s">
        <v>90</v>
      </c>
      <c r="C373" s="3" t="s">
        <v>101</v>
      </c>
      <c r="D373" s="5">
        <v>10862267536</v>
      </c>
      <c r="E373" s="6">
        <v>45717</v>
      </c>
      <c r="F373" s="7">
        <v>46203</v>
      </c>
      <c r="G373" s="7">
        <f t="shared" si="20"/>
        <v>45808</v>
      </c>
      <c r="H373" s="8">
        <v>15.97</v>
      </c>
      <c r="I373" s="8">
        <v>-12.97</v>
      </c>
      <c r="J373" s="9">
        <v>3</v>
      </c>
      <c r="K373" s="3">
        <v>16</v>
      </c>
      <c r="L373" s="17">
        <f t="shared" si="17"/>
        <v>0.27272727272727271</v>
      </c>
      <c r="M373" s="17">
        <v>0.23</v>
      </c>
      <c r="N373" s="17">
        <v>0.23</v>
      </c>
      <c r="O373" s="13">
        <v>1508926165</v>
      </c>
      <c r="P373" s="13">
        <v>1508926165</v>
      </c>
      <c r="Q373" s="13">
        <v>2498321533.2800002</v>
      </c>
      <c r="R373" s="13">
        <v>2498321533.2800002</v>
      </c>
      <c r="S373" s="13">
        <v>989395368.28000021</v>
      </c>
      <c r="T373" s="13">
        <v>0</v>
      </c>
      <c r="U373" s="14">
        <v>1.6556950175756282</v>
      </c>
      <c r="V373" s="15">
        <v>1</v>
      </c>
      <c r="W373" s="16">
        <v>6560548543.47826</v>
      </c>
      <c r="X373" s="16">
        <v>-4301718992.52174</v>
      </c>
    </row>
    <row r="374" spans="1:24" x14ac:dyDescent="0.45">
      <c r="A374" s="3" t="s">
        <v>39</v>
      </c>
      <c r="B374" s="3" t="s">
        <v>90</v>
      </c>
      <c r="C374" s="3" t="s">
        <v>101</v>
      </c>
      <c r="D374" s="5">
        <v>10862267536</v>
      </c>
      <c r="E374" s="6">
        <v>45717</v>
      </c>
      <c r="F374" s="7">
        <v>46203</v>
      </c>
      <c r="G374" s="7">
        <f t="shared" si="20"/>
        <v>45838</v>
      </c>
      <c r="H374" s="8">
        <v>15.97</v>
      </c>
      <c r="I374" s="8">
        <v>-11.97</v>
      </c>
      <c r="J374" s="9">
        <v>4</v>
      </c>
      <c r="K374" s="3">
        <v>16</v>
      </c>
      <c r="L374" s="17">
        <f t="shared" si="17"/>
        <v>0.36363636363636365</v>
      </c>
      <c r="M374" s="17">
        <v>0.3</v>
      </c>
      <c r="N374" s="17">
        <v>0.3</v>
      </c>
      <c r="O374" s="13">
        <v>653084711</v>
      </c>
      <c r="P374" s="13">
        <v>653084711</v>
      </c>
      <c r="Q374" s="13">
        <v>3258680260.7999997</v>
      </c>
      <c r="R374" s="13">
        <v>3258680260.7999997</v>
      </c>
      <c r="S374" s="13">
        <v>2605595549.7999997</v>
      </c>
      <c r="T374" s="13">
        <v>0</v>
      </c>
      <c r="U374" s="14">
        <v>4.9896747020923593</v>
      </c>
      <c r="V374" s="15">
        <v>1</v>
      </c>
      <c r="W374" s="16">
        <v>2176949036.666667</v>
      </c>
      <c r="X374" s="16">
        <v>-8685318499.3333321</v>
      </c>
    </row>
    <row r="375" spans="1:24" x14ac:dyDescent="0.45">
      <c r="A375" s="3" t="s">
        <v>39</v>
      </c>
      <c r="B375" s="3" t="s">
        <v>90</v>
      </c>
      <c r="C375" s="3" t="s">
        <v>101</v>
      </c>
      <c r="D375" s="5">
        <v>10862267536</v>
      </c>
      <c r="E375" s="6">
        <v>45717</v>
      </c>
      <c r="F375" s="7">
        <v>46203</v>
      </c>
      <c r="G375" s="7">
        <f t="shared" si="20"/>
        <v>45869</v>
      </c>
      <c r="H375" s="8">
        <v>15.97</v>
      </c>
      <c r="I375" s="8">
        <v>-10.97</v>
      </c>
      <c r="J375" s="9">
        <v>5</v>
      </c>
      <c r="K375" s="3">
        <v>16</v>
      </c>
      <c r="L375" s="17">
        <f t="shared" si="17"/>
        <v>0.45454545454545453</v>
      </c>
      <c r="M375" s="17">
        <v>0.37</v>
      </c>
      <c r="N375" s="17">
        <v>0.37</v>
      </c>
      <c r="O375" s="13">
        <v>653084711</v>
      </c>
      <c r="P375" s="13">
        <v>653084711</v>
      </c>
      <c r="Q375" s="13">
        <v>4019038988.3200002</v>
      </c>
      <c r="R375" s="13">
        <v>4019038988.3200002</v>
      </c>
      <c r="S375" s="13">
        <v>3365954277.3200002</v>
      </c>
      <c r="T375" s="13">
        <v>0</v>
      </c>
      <c r="U375" s="14">
        <v>6.1539321325805778</v>
      </c>
      <c r="V375" s="15">
        <v>1</v>
      </c>
      <c r="W375" s="16">
        <v>1765093813.5135133</v>
      </c>
      <c r="X375" s="16">
        <v>-9097173722.4864864</v>
      </c>
    </row>
    <row r="376" spans="1:24" x14ac:dyDescent="0.45">
      <c r="A376" s="3" t="s">
        <v>39</v>
      </c>
      <c r="B376" s="3" t="s">
        <v>90</v>
      </c>
      <c r="C376" s="3" t="s">
        <v>101</v>
      </c>
      <c r="D376" s="5">
        <v>10862267536</v>
      </c>
      <c r="E376" s="6">
        <v>45717</v>
      </c>
      <c r="F376" s="7">
        <v>46203</v>
      </c>
      <c r="G376" s="7">
        <f t="shared" si="20"/>
        <v>45900</v>
      </c>
      <c r="H376" s="8">
        <v>15.97</v>
      </c>
      <c r="I376" s="8">
        <v>-9.9700000000000006</v>
      </c>
      <c r="J376" s="9">
        <v>6</v>
      </c>
      <c r="K376" s="3">
        <v>16</v>
      </c>
      <c r="L376" s="17">
        <f t="shared" si="17"/>
        <v>0.54545454545454541</v>
      </c>
      <c r="M376" s="17">
        <v>0.44</v>
      </c>
      <c r="N376" s="17">
        <v>0.44</v>
      </c>
      <c r="O376" s="13">
        <v>653084711</v>
      </c>
      <c r="P376" s="13">
        <v>653084711</v>
      </c>
      <c r="Q376" s="13">
        <v>4779397715.8400002</v>
      </c>
      <c r="R376" s="13">
        <v>4779397715.8400002</v>
      </c>
      <c r="S376" s="13">
        <v>4126313004.8400002</v>
      </c>
      <c r="T376" s="13">
        <v>0</v>
      </c>
      <c r="U376" s="14">
        <v>7.3181895630687945</v>
      </c>
      <c r="V376" s="15">
        <v>1</v>
      </c>
      <c r="W376" s="16">
        <v>1484283434.090909</v>
      </c>
      <c r="X376" s="16">
        <v>-9377984101.9090919</v>
      </c>
    </row>
    <row r="377" spans="1:24" x14ac:dyDescent="0.45">
      <c r="A377" s="3" t="s">
        <v>39</v>
      </c>
      <c r="B377" s="3" t="s">
        <v>90</v>
      </c>
      <c r="C377" s="3" t="s">
        <v>101</v>
      </c>
      <c r="D377" s="5">
        <v>10862267536</v>
      </c>
      <c r="E377" s="6">
        <v>45717</v>
      </c>
      <c r="F377" s="7">
        <v>46203</v>
      </c>
      <c r="G377" s="7">
        <f t="shared" ref="G377:G399" si="21">EOMONTH(E377,J377-1)</f>
        <v>45930</v>
      </c>
      <c r="H377" s="8">
        <v>15.97</v>
      </c>
      <c r="I377" s="8">
        <v>-8.9700000000000006</v>
      </c>
      <c r="J377" s="9">
        <v>7</v>
      </c>
      <c r="K377" s="3">
        <v>16</v>
      </c>
      <c r="L377" s="17">
        <f t="shared" si="17"/>
        <v>0.63636363636363635</v>
      </c>
      <c r="M377" s="17">
        <v>0.51</v>
      </c>
      <c r="N377" s="17">
        <v>0.51</v>
      </c>
      <c r="O377" s="13">
        <v>653084711</v>
      </c>
      <c r="P377" s="13">
        <v>653084711</v>
      </c>
      <c r="Q377" s="13">
        <v>5539756443.3599997</v>
      </c>
      <c r="R377" s="13">
        <v>5539756443.3599997</v>
      </c>
      <c r="S377" s="13">
        <v>4886671732.3599997</v>
      </c>
      <c r="T377" s="13">
        <v>0</v>
      </c>
      <c r="U377" s="14">
        <v>8.4824469935570121</v>
      </c>
      <c r="V377" s="15">
        <v>1</v>
      </c>
      <c r="W377" s="16">
        <v>1280558256.862745</v>
      </c>
      <c r="X377" s="16">
        <v>-9581709279.1372547</v>
      </c>
    </row>
    <row r="378" spans="1:24" x14ac:dyDescent="0.45">
      <c r="A378" s="3" t="s">
        <v>39</v>
      </c>
      <c r="B378" s="3" t="s">
        <v>90</v>
      </c>
      <c r="C378" s="3" t="s">
        <v>101</v>
      </c>
      <c r="D378" s="5">
        <v>10862267536</v>
      </c>
      <c r="E378" s="6">
        <v>45717</v>
      </c>
      <c r="F378" s="7">
        <v>46203</v>
      </c>
      <c r="G378" s="7">
        <f t="shared" si="21"/>
        <v>45961</v>
      </c>
      <c r="H378" s="8">
        <v>15.97</v>
      </c>
      <c r="I378" s="8">
        <v>-7.9700000000000006</v>
      </c>
      <c r="J378" s="9">
        <v>8</v>
      </c>
      <c r="K378" s="3">
        <v>16</v>
      </c>
      <c r="L378" s="17">
        <f t="shared" si="17"/>
        <v>0.72727272727272729</v>
      </c>
      <c r="M378" s="17">
        <v>0.57999999999999996</v>
      </c>
      <c r="N378" s="17">
        <v>0.57999999999999996</v>
      </c>
      <c r="O378" s="13">
        <v>653084711</v>
      </c>
      <c r="P378" s="13">
        <v>653084711</v>
      </c>
      <c r="Q378" s="13">
        <v>6300115170.8799992</v>
      </c>
      <c r="R378" s="13">
        <v>6300115170.8799992</v>
      </c>
      <c r="S378" s="13">
        <v>5647030459.8799992</v>
      </c>
      <c r="T378" s="13">
        <v>0</v>
      </c>
      <c r="U378" s="14">
        <v>9.6467044240452271</v>
      </c>
      <c r="V378" s="15">
        <v>1</v>
      </c>
      <c r="W378" s="16">
        <v>1126008122.4137933</v>
      </c>
      <c r="X378" s="16">
        <v>-9736259413.5862064</v>
      </c>
    </row>
    <row r="379" spans="1:24" x14ac:dyDescent="0.45">
      <c r="A379" s="3" t="s">
        <v>39</v>
      </c>
      <c r="B379" s="3" t="s">
        <v>90</v>
      </c>
      <c r="C379" s="3" t="s">
        <v>101</v>
      </c>
      <c r="D379" s="5">
        <v>10862267536</v>
      </c>
      <c r="E379" s="6">
        <v>45717</v>
      </c>
      <c r="F379" s="7">
        <v>46203</v>
      </c>
      <c r="G379" s="7">
        <f t="shared" si="21"/>
        <v>45991</v>
      </c>
      <c r="H379" s="8">
        <v>15.97</v>
      </c>
      <c r="I379" s="8">
        <v>-6.9700000000000006</v>
      </c>
      <c r="J379" s="9">
        <v>9</v>
      </c>
      <c r="K379" s="3">
        <v>16</v>
      </c>
      <c r="L379" s="17">
        <f t="shared" si="17"/>
        <v>0.81818181818181823</v>
      </c>
      <c r="M379" s="17">
        <v>0.65</v>
      </c>
      <c r="N379" s="17">
        <v>0.65</v>
      </c>
      <c r="O379" s="13">
        <v>653084711</v>
      </c>
      <c r="P379" s="13">
        <v>653084711</v>
      </c>
      <c r="Q379" s="13">
        <v>7060473898.4000006</v>
      </c>
      <c r="R379" s="13">
        <v>7060473898.4000006</v>
      </c>
      <c r="S379" s="13">
        <v>6407389187.4000006</v>
      </c>
      <c r="T379" s="13">
        <v>0</v>
      </c>
      <c r="U379" s="14">
        <v>10.810961854533447</v>
      </c>
      <c r="V379" s="15">
        <v>1</v>
      </c>
      <c r="W379" s="16">
        <v>1004745709.2307692</v>
      </c>
      <c r="X379" s="16">
        <v>-9857521826.7692299</v>
      </c>
    </row>
    <row r="380" spans="1:24" x14ac:dyDescent="0.45">
      <c r="A380" s="3" t="s">
        <v>39</v>
      </c>
      <c r="B380" s="3" t="s">
        <v>90</v>
      </c>
      <c r="C380" s="3" t="s">
        <v>101</v>
      </c>
      <c r="D380" s="5">
        <v>10862267536</v>
      </c>
      <c r="E380" s="6">
        <v>45717</v>
      </c>
      <c r="F380" s="7">
        <v>46203</v>
      </c>
      <c r="G380" s="7">
        <f t="shared" si="21"/>
        <v>46022</v>
      </c>
      <c r="H380" s="8">
        <v>15.97</v>
      </c>
      <c r="I380" s="8">
        <v>-5.9700000000000006</v>
      </c>
      <c r="J380" s="9">
        <v>10</v>
      </c>
      <c r="K380" s="3">
        <v>16</v>
      </c>
      <c r="L380" s="17">
        <f t="shared" si="17"/>
        <v>0.90909090909090906</v>
      </c>
      <c r="M380" s="17">
        <v>0.75</v>
      </c>
      <c r="N380" s="17">
        <v>0.75</v>
      </c>
      <c r="O380" s="13">
        <v>670884711</v>
      </c>
      <c r="P380" s="13">
        <v>670884711</v>
      </c>
      <c r="Q380" s="13">
        <v>8146700652</v>
      </c>
      <c r="R380" s="13">
        <v>8146700652</v>
      </c>
      <c r="S380" s="13">
        <v>7475815941</v>
      </c>
      <c r="T380" s="13">
        <v>0</v>
      </c>
      <c r="U380" s="14">
        <v>12.143220017425618</v>
      </c>
      <c r="V380" s="15">
        <v>1</v>
      </c>
      <c r="W380" s="16">
        <v>894512948</v>
      </c>
      <c r="X380" s="16">
        <v>-9967754588</v>
      </c>
    </row>
    <row r="381" spans="1:24" x14ac:dyDescent="0.45">
      <c r="A381" s="3" t="s">
        <v>39</v>
      </c>
      <c r="B381" s="3" t="s">
        <v>90</v>
      </c>
      <c r="C381" s="3" t="s">
        <v>101</v>
      </c>
      <c r="D381" s="5">
        <v>10862267536</v>
      </c>
      <c r="E381" s="6">
        <v>45717</v>
      </c>
      <c r="F381" s="7">
        <v>46203</v>
      </c>
      <c r="G381" s="7">
        <f t="shared" si="21"/>
        <v>46053</v>
      </c>
      <c r="H381" s="8">
        <v>15.97</v>
      </c>
      <c r="I381" s="8">
        <v>-4.9700000000000006</v>
      </c>
      <c r="J381" s="9">
        <v>11</v>
      </c>
      <c r="K381" s="3">
        <v>16</v>
      </c>
      <c r="L381" s="17">
        <f t="shared" si="17"/>
        <v>1</v>
      </c>
      <c r="M381" s="17">
        <v>0.8</v>
      </c>
      <c r="N381" s="17">
        <v>0.8</v>
      </c>
      <c r="O381" s="13">
        <v>970489516</v>
      </c>
      <c r="P381" s="13">
        <v>970489516</v>
      </c>
      <c r="Q381" s="13">
        <v>8689814028.8000011</v>
      </c>
      <c r="R381" s="13">
        <v>8689814028.8000011</v>
      </c>
      <c r="S381" s="13">
        <v>7719324512.8000011</v>
      </c>
      <c r="T381" s="13">
        <v>0</v>
      </c>
      <c r="U381" s="14">
        <v>8.9540524503718615</v>
      </c>
      <c r="V381" s="15">
        <v>1</v>
      </c>
      <c r="W381" s="16">
        <v>1213111894.9999998</v>
      </c>
      <c r="X381" s="16">
        <v>-9649155641</v>
      </c>
    </row>
    <row r="382" spans="1:24" x14ac:dyDescent="0.45">
      <c r="A382" s="3" t="s">
        <v>37</v>
      </c>
      <c r="B382" s="3" t="s">
        <v>75</v>
      </c>
      <c r="C382" s="3" t="s">
        <v>101</v>
      </c>
      <c r="D382" s="5">
        <v>503460622</v>
      </c>
      <c r="E382" s="6">
        <v>45689</v>
      </c>
      <c r="F382" s="7">
        <v>45716</v>
      </c>
      <c r="G382" s="7">
        <f t="shared" si="21"/>
        <v>46081</v>
      </c>
      <c r="H382" s="8">
        <v>0.9</v>
      </c>
      <c r="I382" s="8">
        <v>1</v>
      </c>
      <c r="J382" s="9">
        <v>13</v>
      </c>
      <c r="K382" s="3">
        <v>1</v>
      </c>
      <c r="L382" s="17">
        <f t="shared" si="17"/>
        <v>1</v>
      </c>
      <c r="M382" s="17">
        <v>1</v>
      </c>
      <c r="N382" s="17">
        <v>1</v>
      </c>
      <c r="O382" s="13">
        <v>503460622</v>
      </c>
      <c r="P382" s="13">
        <v>503460622</v>
      </c>
      <c r="Q382" s="13">
        <v>503460622</v>
      </c>
      <c r="R382" s="13">
        <v>503460622</v>
      </c>
      <c r="S382" s="13">
        <v>0</v>
      </c>
      <c r="T382" s="13">
        <v>0</v>
      </c>
      <c r="U382" s="14">
        <v>1</v>
      </c>
      <c r="V382" s="15">
        <v>1</v>
      </c>
      <c r="W382" s="16">
        <v>503460622</v>
      </c>
      <c r="X382" s="16">
        <v>0</v>
      </c>
    </row>
    <row r="383" spans="1:24" x14ac:dyDescent="0.45">
      <c r="A383" s="3" t="s">
        <v>35</v>
      </c>
      <c r="B383" s="3" t="s">
        <v>89</v>
      </c>
      <c r="C383" s="3" t="s">
        <v>101</v>
      </c>
      <c r="D383" s="5">
        <v>3399664692</v>
      </c>
      <c r="E383" s="6">
        <v>45652</v>
      </c>
      <c r="F383" s="7">
        <v>45925</v>
      </c>
      <c r="G383" s="7">
        <f t="shared" si="21"/>
        <v>45657</v>
      </c>
      <c r="H383" s="8">
        <v>8.9700000000000006</v>
      </c>
      <c r="I383" s="8">
        <v>-7.9700000000000006</v>
      </c>
      <c r="J383" s="9">
        <v>1</v>
      </c>
      <c r="K383" s="3">
        <v>10</v>
      </c>
      <c r="L383" s="17">
        <f t="shared" si="17"/>
        <v>0.1</v>
      </c>
      <c r="M383" s="17">
        <v>0.1</v>
      </c>
      <c r="N383" s="17">
        <v>0.1</v>
      </c>
      <c r="O383" s="13">
        <v>50095352</v>
      </c>
      <c r="P383" s="13">
        <v>50095352</v>
      </c>
      <c r="Q383" s="13">
        <v>339966469.20000005</v>
      </c>
      <c r="R383" s="13">
        <v>339966469.20000005</v>
      </c>
      <c r="S383" s="13">
        <v>289871117.20000005</v>
      </c>
      <c r="T383" s="13">
        <v>0</v>
      </c>
      <c r="U383" s="14">
        <v>6.7863874716360924</v>
      </c>
      <c r="V383" s="15">
        <v>1</v>
      </c>
      <c r="W383" s="16">
        <v>500953519.99999988</v>
      </c>
      <c r="X383" s="16">
        <v>-2898711172</v>
      </c>
    </row>
    <row r="384" spans="1:24" x14ac:dyDescent="0.45">
      <c r="A384" s="3" t="s">
        <v>35</v>
      </c>
      <c r="B384" s="3" t="s">
        <v>89</v>
      </c>
      <c r="C384" s="3" t="s">
        <v>101</v>
      </c>
      <c r="D384" s="5">
        <v>3399664692</v>
      </c>
      <c r="E384" s="6">
        <v>45652</v>
      </c>
      <c r="F384" s="7">
        <v>45925</v>
      </c>
      <c r="G384" s="7">
        <f t="shared" si="21"/>
        <v>45688</v>
      </c>
      <c r="H384" s="8">
        <v>8.9700000000000006</v>
      </c>
      <c r="I384" s="8">
        <v>-6.9700000000000006</v>
      </c>
      <c r="J384" s="9">
        <v>2</v>
      </c>
      <c r="K384" s="3">
        <v>10</v>
      </c>
      <c r="L384" s="17">
        <f t="shared" si="17"/>
        <v>0.2</v>
      </c>
      <c r="M384" s="17">
        <v>0.2</v>
      </c>
      <c r="N384" s="17">
        <v>0.2</v>
      </c>
      <c r="O384" s="13">
        <v>536478499</v>
      </c>
      <c r="P384" s="13">
        <v>536478499</v>
      </c>
      <c r="Q384" s="13">
        <v>679932938.4000001</v>
      </c>
      <c r="R384" s="13">
        <v>679932938.4000001</v>
      </c>
      <c r="S384" s="13">
        <v>143454439.4000001</v>
      </c>
      <c r="T384" s="13">
        <v>0</v>
      </c>
      <c r="U384" s="14">
        <v>1.2674001654631084</v>
      </c>
      <c r="V384" s="15">
        <v>1</v>
      </c>
      <c r="W384" s="16">
        <v>2682392495</v>
      </c>
      <c r="X384" s="16">
        <v>-717272197</v>
      </c>
    </row>
    <row r="385" spans="1:24" x14ac:dyDescent="0.45">
      <c r="A385" s="3" t="s">
        <v>35</v>
      </c>
      <c r="B385" s="3" t="s">
        <v>89</v>
      </c>
      <c r="C385" s="3" t="s">
        <v>101</v>
      </c>
      <c r="D385" s="5">
        <v>3399664692</v>
      </c>
      <c r="E385" s="6">
        <v>45652</v>
      </c>
      <c r="F385" s="7">
        <v>45925</v>
      </c>
      <c r="G385" s="7">
        <f t="shared" si="21"/>
        <v>45716</v>
      </c>
      <c r="H385" s="8">
        <v>8.9700000000000006</v>
      </c>
      <c r="I385" s="8">
        <v>-5.9700000000000006</v>
      </c>
      <c r="J385" s="9">
        <v>3</v>
      </c>
      <c r="K385" s="3">
        <v>10</v>
      </c>
      <c r="L385" s="17">
        <f t="shared" si="17"/>
        <v>0.3</v>
      </c>
      <c r="M385" s="17">
        <v>0.3</v>
      </c>
      <c r="N385" s="17">
        <v>0.3</v>
      </c>
      <c r="O385" s="13">
        <v>357898274</v>
      </c>
      <c r="P385" s="13">
        <v>357898274</v>
      </c>
      <c r="Q385" s="13">
        <v>1019899407.5999999</v>
      </c>
      <c r="R385" s="13">
        <v>1019899407.5999999</v>
      </c>
      <c r="S385" s="13">
        <v>662001133.5999999</v>
      </c>
      <c r="T385" s="13">
        <v>0</v>
      </c>
      <c r="U385" s="14">
        <v>2.8496907688356159</v>
      </c>
      <c r="V385" s="15">
        <v>1</v>
      </c>
      <c r="W385" s="16">
        <v>1192994246.6666667</v>
      </c>
      <c r="X385" s="16">
        <v>-2206670445.333333</v>
      </c>
    </row>
    <row r="386" spans="1:24" x14ac:dyDescent="0.45">
      <c r="A386" s="3" t="s">
        <v>35</v>
      </c>
      <c r="B386" s="3" t="s">
        <v>89</v>
      </c>
      <c r="C386" s="3" t="s">
        <v>101</v>
      </c>
      <c r="D386" s="5">
        <v>3399664692</v>
      </c>
      <c r="E386" s="6">
        <v>45652</v>
      </c>
      <c r="F386" s="7">
        <v>45925</v>
      </c>
      <c r="G386" s="7">
        <f t="shared" si="21"/>
        <v>45747</v>
      </c>
      <c r="H386" s="8">
        <v>8.9700000000000006</v>
      </c>
      <c r="I386" s="8">
        <v>-4.9700000000000006</v>
      </c>
      <c r="J386" s="9">
        <v>4</v>
      </c>
      <c r="K386" s="3">
        <v>10</v>
      </c>
      <c r="L386" s="17">
        <f t="shared" si="17"/>
        <v>0.4</v>
      </c>
      <c r="M386" s="17">
        <v>0.4</v>
      </c>
      <c r="N386" s="17">
        <v>0.4</v>
      </c>
      <c r="O386" s="13">
        <v>357898274</v>
      </c>
      <c r="P386" s="13">
        <v>357898274</v>
      </c>
      <c r="Q386" s="13">
        <v>1359865876.8000002</v>
      </c>
      <c r="R386" s="13">
        <v>1359865876.8000002</v>
      </c>
      <c r="S386" s="13">
        <v>1001967602.8000002</v>
      </c>
      <c r="T386" s="13">
        <v>0</v>
      </c>
      <c r="U386" s="14">
        <v>3.7995876917808222</v>
      </c>
      <c r="V386" s="15">
        <v>1</v>
      </c>
      <c r="W386" s="16">
        <v>894745684.99999988</v>
      </c>
      <c r="X386" s="16">
        <v>-2504919007</v>
      </c>
    </row>
    <row r="387" spans="1:24" x14ac:dyDescent="0.45">
      <c r="A387" s="26" t="s">
        <v>35</v>
      </c>
      <c r="B387" s="26" t="s">
        <v>89</v>
      </c>
      <c r="C387" s="26" t="s">
        <v>101</v>
      </c>
      <c r="D387" s="18">
        <v>3399664692</v>
      </c>
      <c r="E387" s="19">
        <v>45652</v>
      </c>
      <c r="F387" s="20">
        <v>45925</v>
      </c>
      <c r="G387" s="7">
        <f t="shared" si="21"/>
        <v>45777</v>
      </c>
      <c r="H387" s="27">
        <v>8.9700000000000006</v>
      </c>
      <c r="I387" s="27">
        <v>-3.9700000000000006</v>
      </c>
      <c r="J387" s="28">
        <v>5</v>
      </c>
      <c r="K387" s="26">
        <v>10</v>
      </c>
      <c r="L387" s="21">
        <f t="shared" ref="L387:L399" si="22">J387/_xlfn.MAXIFS(J387:J784,A387:A784,A387)</f>
        <v>0.5</v>
      </c>
      <c r="M387" s="21">
        <v>0.5</v>
      </c>
      <c r="N387" s="21">
        <v>0.5</v>
      </c>
      <c r="O387" s="29">
        <v>357898274</v>
      </c>
      <c r="P387" s="29">
        <v>357898274</v>
      </c>
      <c r="Q387" s="29">
        <v>1699832346</v>
      </c>
      <c r="R387" s="29">
        <v>1699832346</v>
      </c>
      <c r="S387" s="29">
        <v>1341934072</v>
      </c>
      <c r="T387" s="29">
        <v>0</v>
      </c>
      <c r="U387" s="30">
        <v>4.7494846147260272</v>
      </c>
      <c r="V387" s="31">
        <v>1</v>
      </c>
      <c r="W387" s="22">
        <v>715796548</v>
      </c>
      <c r="X387" s="22">
        <v>-2683868144</v>
      </c>
    </row>
    <row r="388" spans="1:24" x14ac:dyDescent="0.45">
      <c r="A388" s="3" t="s">
        <v>35</v>
      </c>
      <c r="B388" s="3" t="s">
        <v>89</v>
      </c>
      <c r="C388" s="3" t="s">
        <v>101</v>
      </c>
      <c r="D388" s="5">
        <v>3399664692</v>
      </c>
      <c r="E388" s="6">
        <v>45652</v>
      </c>
      <c r="F388" s="7">
        <v>45925</v>
      </c>
      <c r="G388" s="7">
        <f t="shared" si="21"/>
        <v>45808</v>
      </c>
      <c r="H388" s="8">
        <v>8.9700000000000006</v>
      </c>
      <c r="I388" s="8">
        <v>-2.9700000000000006</v>
      </c>
      <c r="J388" s="9">
        <v>6</v>
      </c>
      <c r="K388" s="3">
        <v>10</v>
      </c>
      <c r="L388" s="17">
        <f t="shared" si="22"/>
        <v>0.6</v>
      </c>
      <c r="M388" s="17">
        <v>0.6</v>
      </c>
      <c r="N388" s="17">
        <v>0.6</v>
      </c>
      <c r="O388" s="13">
        <v>357898274</v>
      </c>
      <c r="P388" s="13">
        <v>357898274</v>
      </c>
      <c r="Q388" s="13">
        <v>2039798815.1999998</v>
      </c>
      <c r="R388" s="13">
        <v>2039798815.1999998</v>
      </c>
      <c r="S388" s="13">
        <v>1681900541.1999998</v>
      </c>
      <c r="T388" s="13">
        <v>0</v>
      </c>
      <c r="U388" s="14">
        <v>5.6993815376712318</v>
      </c>
      <c r="V388" s="15">
        <v>1</v>
      </c>
      <c r="W388" s="16">
        <v>596497123.33333337</v>
      </c>
      <c r="X388" s="16">
        <v>-2803167568.6666665</v>
      </c>
    </row>
    <row r="389" spans="1:24" x14ac:dyDescent="0.45">
      <c r="A389" s="3" t="s">
        <v>35</v>
      </c>
      <c r="B389" s="3" t="s">
        <v>89</v>
      </c>
      <c r="C389" s="3" t="s">
        <v>101</v>
      </c>
      <c r="D389" s="5">
        <v>3399664692</v>
      </c>
      <c r="E389" s="6">
        <v>45652</v>
      </c>
      <c r="F389" s="7">
        <v>45925</v>
      </c>
      <c r="G389" s="7">
        <f t="shared" si="21"/>
        <v>45838</v>
      </c>
      <c r="H389" s="8">
        <v>8.9700000000000006</v>
      </c>
      <c r="I389" s="8">
        <v>-1.9700000000000006</v>
      </c>
      <c r="J389" s="9">
        <v>7</v>
      </c>
      <c r="K389" s="3">
        <v>10</v>
      </c>
      <c r="L389" s="17">
        <f t="shared" si="22"/>
        <v>0.7</v>
      </c>
      <c r="M389" s="17">
        <v>0.7</v>
      </c>
      <c r="N389" s="17">
        <v>0.7</v>
      </c>
      <c r="O389" s="13">
        <v>357898274</v>
      </c>
      <c r="P389" s="13">
        <v>357898274</v>
      </c>
      <c r="Q389" s="13">
        <v>2379765284.3999996</v>
      </c>
      <c r="R389" s="13">
        <v>2379765284.3999996</v>
      </c>
      <c r="S389" s="13">
        <v>2021867010.3999996</v>
      </c>
      <c r="T389" s="13">
        <v>0</v>
      </c>
      <c r="U389" s="14">
        <v>6.6492784606164363</v>
      </c>
      <c r="V389" s="15">
        <v>1</v>
      </c>
      <c r="W389" s="16">
        <v>511283248.57142866</v>
      </c>
      <c r="X389" s="16">
        <v>-2888381443.4285712</v>
      </c>
    </row>
    <row r="390" spans="1:24" x14ac:dyDescent="0.45">
      <c r="A390" s="26" t="s">
        <v>35</v>
      </c>
      <c r="B390" s="3" t="s">
        <v>89</v>
      </c>
      <c r="C390" s="3" t="s">
        <v>101</v>
      </c>
      <c r="D390" s="18">
        <v>3399664692</v>
      </c>
      <c r="E390" s="19">
        <v>45652</v>
      </c>
      <c r="F390" s="20">
        <v>45925</v>
      </c>
      <c r="G390" s="7">
        <f t="shared" si="21"/>
        <v>45869</v>
      </c>
      <c r="H390" s="27">
        <v>8.9700000000000006</v>
      </c>
      <c r="I390" s="27">
        <v>-0.97000000000000064</v>
      </c>
      <c r="J390" s="28">
        <v>8</v>
      </c>
      <c r="K390" s="26">
        <v>10</v>
      </c>
      <c r="L390" s="21">
        <f t="shared" si="22"/>
        <v>0.8</v>
      </c>
      <c r="M390" s="21">
        <v>0.8</v>
      </c>
      <c r="N390" s="21">
        <v>0.8</v>
      </c>
      <c r="O390" s="29">
        <v>357898274</v>
      </c>
      <c r="P390" s="29">
        <v>357898274</v>
      </c>
      <c r="Q390" s="29">
        <v>2719731753.6000004</v>
      </c>
      <c r="R390" s="29">
        <v>2719731753.6000004</v>
      </c>
      <c r="S390" s="29">
        <v>2361833479.6000004</v>
      </c>
      <c r="T390" s="29">
        <v>0</v>
      </c>
      <c r="U390" s="30">
        <v>7.5991753835616445</v>
      </c>
      <c r="V390" s="31">
        <v>1</v>
      </c>
      <c r="W390" s="22">
        <v>447372842.49999994</v>
      </c>
      <c r="X390" s="22">
        <v>-2952291849.5</v>
      </c>
    </row>
    <row r="391" spans="1:24" x14ac:dyDescent="0.45">
      <c r="A391" s="26" t="s">
        <v>35</v>
      </c>
      <c r="B391" s="3" t="s">
        <v>89</v>
      </c>
      <c r="C391" s="3" t="s">
        <v>101</v>
      </c>
      <c r="D391" s="18">
        <v>3399664692</v>
      </c>
      <c r="E391" s="19">
        <v>45652</v>
      </c>
      <c r="F391" s="20">
        <v>45925</v>
      </c>
      <c r="G391" s="7">
        <f t="shared" si="21"/>
        <v>45900</v>
      </c>
      <c r="H391" s="27">
        <v>8.9700000000000006</v>
      </c>
      <c r="I391" s="27">
        <v>2.9999999999999361E-2</v>
      </c>
      <c r="J391" s="28">
        <v>9</v>
      </c>
      <c r="K391" s="26">
        <v>10</v>
      </c>
      <c r="L391" s="21">
        <f t="shared" si="22"/>
        <v>0.9</v>
      </c>
      <c r="M391" s="21">
        <v>0.9</v>
      </c>
      <c r="N391" s="21">
        <v>0.9</v>
      </c>
      <c r="O391" s="29">
        <v>357898274</v>
      </c>
      <c r="P391" s="29">
        <v>357898274</v>
      </c>
      <c r="Q391" s="29">
        <v>3059698222.8000002</v>
      </c>
      <c r="R391" s="29">
        <v>3059698222.8000002</v>
      </c>
      <c r="S391" s="29">
        <v>2701799948.8000002</v>
      </c>
      <c r="T391" s="29">
        <v>0</v>
      </c>
      <c r="U391" s="30">
        <v>8.549072306506849</v>
      </c>
      <c r="V391" s="31">
        <v>1</v>
      </c>
      <c r="W391" s="22">
        <v>397664748.88888884</v>
      </c>
      <c r="X391" s="22">
        <v>-3001999943.1111112</v>
      </c>
    </row>
    <row r="392" spans="1:24" x14ac:dyDescent="0.45">
      <c r="A392" s="26" t="s">
        <v>35</v>
      </c>
      <c r="B392" s="3" t="s">
        <v>89</v>
      </c>
      <c r="C392" s="3" t="s">
        <v>101</v>
      </c>
      <c r="D392" s="18">
        <v>3399664692</v>
      </c>
      <c r="E392" s="19">
        <v>45652</v>
      </c>
      <c r="F392" s="20">
        <v>45925</v>
      </c>
      <c r="G392" s="7">
        <f t="shared" si="21"/>
        <v>45930</v>
      </c>
      <c r="H392" s="27">
        <v>8.9700000000000006</v>
      </c>
      <c r="I392" s="27">
        <v>1.0299999999999994</v>
      </c>
      <c r="J392" s="28">
        <v>10</v>
      </c>
      <c r="K392" s="26">
        <v>10</v>
      </c>
      <c r="L392" s="21">
        <f t="shared" si="22"/>
        <v>1</v>
      </c>
      <c r="M392" s="21">
        <v>1</v>
      </c>
      <c r="N392" s="21">
        <v>1</v>
      </c>
      <c r="O392" s="29">
        <v>307802922</v>
      </c>
      <c r="P392" s="29">
        <v>307802922</v>
      </c>
      <c r="Q392" s="29">
        <v>3399664692</v>
      </c>
      <c r="R392" s="29">
        <v>3399664692</v>
      </c>
      <c r="S392" s="29">
        <v>3091861770</v>
      </c>
      <c r="T392" s="29">
        <v>0</v>
      </c>
      <c r="U392" s="30">
        <v>11.044939631859636</v>
      </c>
      <c r="V392" s="31">
        <v>1</v>
      </c>
      <c r="W392" s="22">
        <v>307802922</v>
      </c>
      <c r="X392" s="22">
        <v>-3091861770</v>
      </c>
    </row>
    <row r="393" spans="1:24" x14ac:dyDescent="0.45">
      <c r="A393" s="26" t="s">
        <v>12</v>
      </c>
      <c r="B393" s="3" t="s">
        <v>81</v>
      </c>
      <c r="C393" s="3" t="s">
        <v>102</v>
      </c>
      <c r="D393" s="18">
        <v>218649688</v>
      </c>
      <c r="E393" s="19">
        <v>45413</v>
      </c>
      <c r="F393" s="20">
        <v>45534</v>
      </c>
      <c r="G393" s="7">
        <f t="shared" si="21"/>
        <v>45443</v>
      </c>
      <c r="H393" s="27">
        <v>3.97</v>
      </c>
      <c r="I393" s="27">
        <v>18.03</v>
      </c>
      <c r="J393" s="28">
        <v>1</v>
      </c>
      <c r="K393" s="26">
        <v>4</v>
      </c>
      <c r="L393" s="21">
        <f t="shared" si="22"/>
        <v>0.2</v>
      </c>
      <c r="M393" s="21">
        <v>0.2</v>
      </c>
      <c r="N393" s="21">
        <v>0.15</v>
      </c>
      <c r="O393" s="29">
        <v>43729938</v>
      </c>
      <c r="P393" s="29">
        <v>43729938</v>
      </c>
      <c r="Q393" s="29">
        <v>32797453.199999999</v>
      </c>
      <c r="R393" s="29">
        <v>43729937.600000001</v>
      </c>
      <c r="S393" s="29">
        <v>-10932484.800000001</v>
      </c>
      <c r="T393" s="29">
        <v>-10932484.400000002</v>
      </c>
      <c r="U393" s="30">
        <v>0.74999999313971122</v>
      </c>
      <c r="V393" s="31">
        <v>0.75</v>
      </c>
      <c r="W393" s="22">
        <v>291532920</v>
      </c>
      <c r="X393" s="22">
        <v>72883232</v>
      </c>
    </row>
    <row r="394" spans="1:24" x14ac:dyDescent="0.45">
      <c r="A394" s="26" t="s">
        <v>12</v>
      </c>
      <c r="B394" s="3" t="s">
        <v>81</v>
      </c>
      <c r="C394" s="3" t="s">
        <v>102</v>
      </c>
      <c r="D394" s="18">
        <v>218649688</v>
      </c>
      <c r="E394" s="19">
        <v>45413</v>
      </c>
      <c r="F394" s="20">
        <v>45534</v>
      </c>
      <c r="G394" s="7">
        <f t="shared" si="21"/>
        <v>45473</v>
      </c>
      <c r="H394" s="27">
        <v>3.97</v>
      </c>
      <c r="I394" s="27">
        <v>18.03</v>
      </c>
      <c r="J394" s="28">
        <v>2</v>
      </c>
      <c r="K394" s="26">
        <v>4</v>
      </c>
      <c r="L394" s="21">
        <f t="shared" si="22"/>
        <v>0.4</v>
      </c>
      <c r="M394" s="21">
        <v>0.5</v>
      </c>
      <c r="N394" s="21">
        <v>0.56000000000000005</v>
      </c>
      <c r="O394" s="29">
        <v>43729938</v>
      </c>
      <c r="P394" s="29">
        <v>43729938</v>
      </c>
      <c r="Q394" s="29">
        <v>122443825.28000002</v>
      </c>
      <c r="R394" s="29">
        <v>109324844</v>
      </c>
      <c r="S394" s="29">
        <v>78713887.280000016</v>
      </c>
      <c r="T394" s="29">
        <v>13118981.280000016</v>
      </c>
      <c r="U394" s="30">
        <v>2.799999974388256</v>
      </c>
      <c r="V394" s="31">
        <v>1.1200000000000001</v>
      </c>
      <c r="W394" s="22">
        <v>78089174.999999985</v>
      </c>
      <c r="X394" s="22">
        <v>-140560513</v>
      </c>
    </row>
    <row r="395" spans="1:24" x14ac:dyDescent="0.45">
      <c r="A395" s="26" t="s">
        <v>12</v>
      </c>
      <c r="B395" s="3" t="s">
        <v>81</v>
      </c>
      <c r="C395" s="3" t="s">
        <v>102</v>
      </c>
      <c r="D395" s="18">
        <v>218649688</v>
      </c>
      <c r="E395" s="19">
        <v>45413</v>
      </c>
      <c r="F395" s="20">
        <v>45534</v>
      </c>
      <c r="G395" s="7">
        <f t="shared" si="21"/>
        <v>45504</v>
      </c>
      <c r="H395" s="27">
        <v>3.97</v>
      </c>
      <c r="I395" s="27">
        <v>18.03</v>
      </c>
      <c r="J395" s="28">
        <v>3</v>
      </c>
      <c r="K395" s="26">
        <v>4</v>
      </c>
      <c r="L395" s="21">
        <f t="shared" si="22"/>
        <v>0.6</v>
      </c>
      <c r="M395" s="21">
        <v>0.85</v>
      </c>
      <c r="N395" s="21">
        <v>0.67</v>
      </c>
      <c r="O395" s="29">
        <v>43729938</v>
      </c>
      <c r="P395" s="29">
        <v>43729938</v>
      </c>
      <c r="Q395" s="29">
        <v>146495290.96000001</v>
      </c>
      <c r="R395" s="29">
        <v>185852234.79999998</v>
      </c>
      <c r="S395" s="29">
        <v>102765352.96000001</v>
      </c>
      <c r="T395" s="29">
        <v>-39356943.839999974</v>
      </c>
      <c r="U395" s="30">
        <v>3.3499999693573774</v>
      </c>
      <c r="V395" s="31">
        <v>0.78823529411764715</v>
      </c>
      <c r="W395" s="22">
        <v>65268564.17910447</v>
      </c>
      <c r="X395" s="22">
        <v>-153381123.82089552</v>
      </c>
    </row>
    <row r="396" spans="1:24" x14ac:dyDescent="0.45">
      <c r="A396" s="26" t="s">
        <v>12</v>
      </c>
      <c r="B396" s="3" t="s">
        <v>81</v>
      </c>
      <c r="C396" s="3" t="s">
        <v>102</v>
      </c>
      <c r="D396" s="18">
        <v>218649688</v>
      </c>
      <c r="E396" s="19">
        <v>45413</v>
      </c>
      <c r="F396" s="20">
        <v>45534</v>
      </c>
      <c r="G396" s="7">
        <f t="shared" si="21"/>
        <v>45535</v>
      </c>
      <c r="H396" s="27">
        <v>3.97</v>
      </c>
      <c r="I396" s="27">
        <v>18.03</v>
      </c>
      <c r="J396" s="28">
        <v>4</v>
      </c>
      <c r="K396" s="26">
        <v>4</v>
      </c>
      <c r="L396" s="21">
        <f t="shared" si="22"/>
        <v>0.8</v>
      </c>
      <c r="M396" s="21">
        <v>1</v>
      </c>
      <c r="N396" s="21">
        <v>0.85</v>
      </c>
      <c r="O396" s="29">
        <v>43729938</v>
      </c>
      <c r="P396" s="29">
        <v>43729938</v>
      </c>
      <c r="Q396" s="29">
        <v>185852234.79999998</v>
      </c>
      <c r="R396" s="29">
        <v>218649688</v>
      </c>
      <c r="S396" s="29">
        <v>142122296.79999998</v>
      </c>
      <c r="T396" s="29">
        <v>-32797453.200000018</v>
      </c>
      <c r="U396" s="30">
        <v>4.2499999611250301</v>
      </c>
      <c r="V396" s="31">
        <v>0.84999999999999987</v>
      </c>
      <c r="W396" s="22">
        <v>51446985.882352948</v>
      </c>
      <c r="X396" s="22">
        <v>-167202702.11764705</v>
      </c>
    </row>
    <row r="397" spans="1:24" x14ac:dyDescent="0.45">
      <c r="A397" s="26" t="s">
        <v>12</v>
      </c>
      <c r="B397" s="3" t="s">
        <v>81</v>
      </c>
      <c r="C397" s="3" t="s">
        <v>102</v>
      </c>
      <c r="D397" s="18">
        <v>218649688</v>
      </c>
      <c r="E397" s="19">
        <v>45413</v>
      </c>
      <c r="F397" s="20">
        <v>45534</v>
      </c>
      <c r="G397" s="7">
        <f t="shared" si="21"/>
        <v>45565</v>
      </c>
      <c r="H397" s="27">
        <v>3.97</v>
      </c>
      <c r="I397" s="27">
        <v>18.03</v>
      </c>
      <c r="J397" s="28">
        <v>5</v>
      </c>
      <c r="K397" s="26">
        <v>4</v>
      </c>
      <c r="L397" s="21">
        <f t="shared" si="22"/>
        <v>1</v>
      </c>
      <c r="M397" s="21">
        <v>1</v>
      </c>
      <c r="N397" s="21">
        <v>1</v>
      </c>
      <c r="O397" s="29">
        <v>43729938</v>
      </c>
      <c r="P397" s="29">
        <v>43729938</v>
      </c>
      <c r="Q397" s="29">
        <v>218649688</v>
      </c>
      <c r="R397" s="29">
        <v>218649688</v>
      </c>
      <c r="S397" s="29">
        <v>174919750</v>
      </c>
      <c r="T397" s="29">
        <v>0</v>
      </c>
      <c r="U397" s="30">
        <v>4.9999999542647418</v>
      </c>
      <c r="V397" s="31">
        <v>1</v>
      </c>
      <c r="W397" s="22">
        <v>43729938</v>
      </c>
      <c r="X397" s="22">
        <v>-174919750</v>
      </c>
    </row>
    <row r="398" spans="1:24" x14ac:dyDescent="0.45">
      <c r="A398" s="26" t="s">
        <v>32</v>
      </c>
      <c r="B398" s="3" t="s">
        <v>80</v>
      </c>
      <c r="C398" s="3" t="s">
        <v>103</v>
      </c>
      <c r="D398" s="18">
        <v>219060050</v>
      </c>
      <c r="E398" s="19">
        <v>45597</v>
      </c>
      <c r="F398" s="20">
        <v>45657</v>
      </c>
      <c r="G398" s="7">
        <f t="shared" si="21"/>
        <v>45626</v>
      </c>
      <c r="H398" s="27">
        <v>2</v>
      </c>
      <c r="I398" s="27">
        <v>-1</v>
      </c>
      <c r="J398" s="28">
        <v>1</v>
      </c>
      <c r="K398" s="28">
        <v>1</v>
      </c>
      <c r="L398" s="21">
        <f t="shared" si="22"/>
        <v>0.5</v>
      </c>
      <c r="M398" s="21">
        <v>0.5</v>
      </c>
      <c r="N398" s="21">
        <v>0.5</v>
      </c>
      <c r="O398" s="29">
        <v>109530025</v>
      </c>
      <c r="P398" s="29">
        <v>109530025</v>
      </c>
      <c r="Q398" s="29">
        <v>109530025</v>
      </c>
      <c r="R398" s="29">
        <v>109530025</v>
      </c>
      <c r="S398" s="29">
        <v>0</v>
      </c>
      <c r="T398" s="29">
        <v>0</v>
      </c>
      <c r="U398" s="30">
        <v>1</v>
      </c>
      <c r="V398" s="31">
        <v>1</v>
      </c>
      <c r="W398" s="22">
        <v>219060050</v>
      </c>
      <c r="X398" s="22">
        <v>0</v>
      </c>
    </row>
    <row r="399" spans="1:24" x14ac:dyDescent="0.45">
      <c r="A399" s="26" t="s">
        <v>32</v>
      </c>
      <c r="B399" s="3" t="s">
        <v>80</v>
      </c>
      <c r="C399" s="3" t="s">
        <v>103</v>
      </c>
      <c r="D399" s="18">
        <v>219060050</v>
      </c>
      <c r="E399" s="19">
        <v>45597</v>
      </c>
      <c r="F399" s="20">
        <v>45657</v>
      </c>
      <c r="G399" s="7">
        <f t="shared" si="21"/>
        <v>45657</v>
      </c>
      <c r="H399" s="27">
        <v>2</v>
      </c>
      <c r="I399" s="27">
        <v>0</v>
      </c>
      <c r="J399" s="28">
        <v>2</v>
      </c>
      <c r="K399" s="26">
        <v>2</v>
      </c>
      <c r="L399" s="21">
        <f t="shared" si="22"/>
        <v>1</v>
      </c>
      <c r="M399" s="21">
        <v>1</v>
      </c>
      <c r="N399" s="21">
        <v>1</v>
      </c>
      <c r="O399" s="29">
        <v>109530025</v>
      </c>
      <c r="P399" s="29">
        <v>109530025</v>
      </c>
      <c r="Q399" s="29">
        <v>219060050</v>
      </c>
      <c r="R399" s="29">
        <v>219060050</v>
      </c>
      <c r="S399" s="29">
        <v>109530025</v>
      </c>
      <c r="T399" s="29">
        <v>0</v>
      </c>
      <c r="U399" s="30">
        <v>2</v>
      </c>
      <c r="V399" s="31">
        <v>1</v>
      </c>
      <c r="W399" s="22">
        <v>109530025</v>
      </c>
      <c r="X399" s="22">
        <v>-109530025</v>
      </c>
    </row>
  </sheetData>
  <sortState xmlns:xlrd2="http://schemas.microsoft.com/office/spreadsheetml/2017/richdata2" ref="A2:X399">
    <sortCondition ref="A2:A399"/>
    <sortCondition ref="J2:J3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B12E-8487-4CC0-8210-7C3556ED403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Ontibon</dc:creator>
  <cp:lastModifiedBy>Yuri Ontibon</cp:lastModifiedBy>
  <dcterms:created xsi:type="dcterms:W3CDTF">2015-06-05T18:19:34Z</dcterms:created>
  <dcterms:modified xsi:type="dcterms:W3CDTF">2026-03-13T14:53:26Z</dcterms:modified>
</cp:coreProperties>
</file>